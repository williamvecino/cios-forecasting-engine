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27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gnalWatchlist" sheetId="1" state="visible" r:id="rId3"/>
    <sheet name="ChangeLog" sheetId="2" state="visible" r:id="rId4"/>
    <sheet name="WeeklyBrief" sheetId="3" state="visible" r:id="rId5"/>
    <sheet name="FieldIntelligenceInbox" sheetId="4" state="visible" r:id="rId6"/>
    <sheet name="SegmentMessagingMatrix" sheetId="5" state="visible" r:id="rId7"/>
    <sheet name="MessageUpdateRouter" sheetId="6" state="visible" r:id="rId8"/>
    <sheet name="FieldGuidanceOutput" sheetId="7" state="visible" r:id="rId9"/>
    <sheet name="SalesGuidance" sheetId="8" state="visible" r:id="rId10"/>
    <sheet name="MSLGuidance" sheetId="9" state="visible" r:id="rId11"/>
    <sheet name="DeploymentTracker" sheetId="10" state="visible" r:id="rId12"/>
    <sheet name="SegmentOutcomeTracker" sheetId="11" state="visible" r:id="rId13"/>
    <sheet name="AccountFeedbackLoop" sheetId="12" state="visible" r:id="rId14"/>
    <sheet name="ClosedLoopDashboard" sheetId="13" state="visible" r:id="rId15"/>
    <sheet name="DeploymentInstructions" sheetId="14" state="visible" r:id="rId16"/>
    <sheet name="SourceMonitorConfig" sheetId="15" state="visible" r:id="rId17"/>
    <sheet name="CandidateSignalQueue" sheetId="16" state="visible" r:id="rId18"/>
    <sheet name="SignalNormalization" sheetId="17" state="visible" r:id="rId19"/>
    <sheet name="ValidationWorkbench" sheetId="18" state="visible" r:id="rId20"/>
    <sheet name="RegisterPush" sheetId="19" state="visible" r:id="rId21"/>
    <sheet name="AutomationDashboard" sheetId="20" state="visible" r:id="rId22"/>
    <sheet name="AutomationInstructions" sheetId="21" state="visible" r:id="rId23"/>
    <sheet name="Cockpit_Home" sheetId="22" state="visible" r:id="rId24"/>
    <sheet name="CaseHeader" sheetId="23" state="visible" r:id="rId25"/>
    <sheet name="SignalRegister" sheetId="24" state="visible" r:id="rId26"/>
    <sheet name="Actors" sheetId="25" state="visible" r:id="rId27"/>
    <sheet name="PharmaLogic" sheetId="26" state="visible" r:id="rId28"/>
    <sheet name="SpecialtyActorSets" sheetId="27" state="visible" r:id="rId29"/>
    <sheet name="ActorReactionMatrix" sheetId="28" state="visible" r:id="rId30"/>
    <sheet name="ActorAggregation" sheetId="29" state="visible" r:id="rId31"/>
    <sheet name="ProbabilityEngine" sheetId="30" state="visible" r:id="rId32"/>
    <sheet name="InterpretationLayer" sheetId="31" state="visible" r:id="rId33"/>
    <sheet name="CalibrationLog" sheetId="32" state="visible" r:id="rId34"/>
    <sheet name="DriverPanel" sheetId="33" state="visible" r:id="rId35"/>
    <sheet name="ScenarioSimulator" sheetId="34" state="visible" r:id="rId36"/>
    <sheet name="SignalRadar" sheetId="35" state="visible" r:id="rId37"/>
    <sheet name="StrategicGuidance" sheetId="36" state="visible" r:id="rId38"/>
    <sheet name="ForecastLedger" sheetId="37" state="visible" r:id="rId39"/>
    <sheet name="ProbabilityTimeline" sheetId="38" state="visible" r:id="rId40"/>
  </sheets>
  <definedNames>
    <definedName function="false" hidden="true" localSheetId="26" name="_xlnm._FilterDatabase" vbProcedure="false">SpecialtyActorSets!$A$3:$I$45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OpenAI</author>
  </authors>
  <commentList>
    <comment ref="U1" authorId="0">
      <text>
        <r>
          <rPr>
            <sz val="10"/>
            <rFont val="Arial"/>
            <family val="2"/>
          </rPr>
          <t xml:space="preserve">Derived signal score from urgency, credibility, frequency, and impact.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OpenAI</author>
  </authors>
  <commentList>
    <comment ref="Z3" authorId="0">
      <text>
        <r>
          <rPr>
            <sz val="10"/>
            <rFont val="Arial"/>
            <family val="2"/>
          </rPr>
          <t xml:space="preserve">Net field improvement combines lower objection rate, lower access friction, and higher engagement.</t>
        </r>
      </text>
    </comment>
  </commentList>
</comments>
</file>

<file path=xl/sharedStrings.xml><?xml version="1.0" encoding="utf-8"?>
<sst xmlns="http://schemas.openxmlformats.org/spreadsheetml/2006/main" count="1101" uniqueCount="709">
  <si>
    <t xml:space="preserve">SignalID</t>
  </si>
  <si>
    <t xml:space="preserve">SignalName</t>
  </si>
  <si>
    <t xml:space="preserve">SignalType</t>
  </si>
  <si>
    <t xml:space="preserve">ExpectedWindow</t>
  </si>
  <si>
    <t xml:space="preserve">Owner</t>
  </si>
  <si>
    <t xml:space="preserve">ExpectedDirection</t>
  </si>
  <si>
    <t xml:space="preserve">EstimatedImpact</t>
  </si>
  <si>
    <t xml:space="preserve">EvidenceSource</t>
  </si>
  <si>
    <t xml:space="preserve">Status</t>
  </si>
  <si>
    <t xml:space="preserve">Notes</t>
  </si>
  <si>
    <t xml:space="preserve">SIG-021</t>
  </si>
  <si>
    <t xml:space="preserve">ATS guideline update discussion</t>
  </si>
  <si>
    <t xml:space="preserve">Regulatory</t>
  </si>
  <si>
    <t xml:space="preserve">ATS meeting</t>
  </si>
  <si>
    <t xml:space="preserve">Medical Affairs</t>
  </si>
  <si>
    <t xml:space="preserve">+</t>
  </si>
  <si>
    <t xml:space="preserve">High</t>
  </si>
  <si>
    <t xml:space="preserve">ATS conference</t>
  </si>
  <si>
    <t xml:space="preserve">Pending</t>
  </si>
  <si>
    <t xml:space="preserve">Guideline panel discussion expected</t>
  </si>
  <si>
    <t xml:space="preserve">SIG-022</t>
  </si>
  <si>
    <t xml:space="preserve">Payer coverage expansion</t>
  </si>
  <si>
    <t xml:space="preserve">Commercial</t>
  </si>
  <si>
    <t xml:space="preserve">Next 6 months</t>
  </si>
  <si>
    <t xml:space="preserve">Market Access</t>
  </si>
  <si>
    <t xml:space="preserve">Medium</t>
  </si>
  <si>
    <t xml:space="preserve">Payer policy updates</t>
  </si>
  <si>
    <t xml:space="preserve">Monitoring policy bulletins</t>
  </si>
  <si>
    <t xml:space="preserve">SIG-023</t>
  </si>
  <si>
    <t xml:space="preserve">Confirmatory trial interim data</t>
  </si>
  <si>
    <t xml:space="preserve">Clinical</t>
  </si>
  <si>
    <t xml:space="preserve">Q4</t>
  </si>
  <si>
    <t xml:space="preserve">Clinical Team</t>
  </si>
  <si>
    <t xml:space="preserve">ClinicalTrials.gov</t>
  </si>
  <si>
    <t xml:space="preserve">Interim analysis expected</t>
  </si>
  <si>
    <t xml:space="preserve">Date</t>
  </si>
  <si>
    <t xml:space="preserve">SignalDescription</t>
  </si>
  <si>
    <t xml:space="preserve">Direction</t>
  </si>
  <si>
    <t xml:space="preserve">ProbabilityChange</t>
  </si>
  <si>
    <t xml:space="preserve">Interpretation</t>
  </si>
  <si>
    <t xml:space="preserve">Analyst</t>
  </si>
  <si>
    <t xml:space="preserve">2026-05-12</t>
  </si>
  <si>
    <t xml:space="preserve">SIG-010</t>
  </si>
  <si>
    <t xml:space="preserve">ENCORE fatigue endpoint miss</t>
  </si>
  <si>
    <t xml:space="preserve">Negative</t>
  </si>
  <si>
    <t xml:space="preserve">Minor reduction in adoption confidence</t>
  </si>
  <si>
    <t xml:space="preserve">2026-06-03</t>
  </si>
  <si>
    <t xml:space="preserve">SIG-014</t>
  </si>
  <si>
    <t xml:space="preserve">Positive ATS panel commentary</t>
  </si>
  <si>
    <t xml:space="preserve">Positive</t>
  </si>
  <si>
    <t xml:space="preserve">Improves guideline adoption probability</t>
  </si>
  <si>
    <t xml:space="preserve">2026-03-15</t>
  </si>
  <si>
    <t xml:space="preserve">V18</t>
  </si>
  <si>
    <t xml:space="preserve">Inserted actor-reaction layer between signal structuring and probability engine.</t>
  </si>
  <si>
    <t xml:space="preserve">Preserved original V17 cockpit sheets; added CaseHeader, SignalRegister, Actors, ActorReactionMatrix, ActorAggregation, ProbabilityEngine, InterpretationLayer, and CalibrationLog.</t>
  </si>
  <si>
    <t xml:space="preserve">CaseID</t>
  </si>
  <si>
    <t xml:space="preserve">CurrentProbability</t>
  </si>
  <si>
    <t xml:space="preserve">ChangeSinceLastReview</t>
  </si>
  <si>
    <t xml:space="preserve">TopDriver1</t>
  </si>
  <si>
    <t xml:space="preserve">TopDriver2</t>
  </si>
  <si>
    <t xml:space="preserve">TopDriver3</t>
  </si>
  <si>
    <t xml:space="preserve">SignalsToMonitor</t>
  </si>
  <si>
    <t xml:space="preserve">NextDecisionCheckpoint</t>
  </si>
  <si>
    <t xml:space="preserve">PreparedBy</t>
  </si>
  <si>
    <t xml:space="preserve">ARK_FL_001</t>
  </si>
  <si>
    <t xml:space="preserve">+0.03</t>
  </si>
  <si>
    <t xml:space="preserve">Guideline adoption probability</t>
  </si>
  <si>
    <t xml:space="preserve">Confirmatory clinical evidence</t>
  </si>
  <si>
    <t xml:space="preserve">ATS guideline panel discussion</t>
  </si>
  <si>
    <t xml:space="preserve">ATS Annual Meeting</t>
  </si>
  <si>
    <t xml:space="preserve">CIOS Engine</t>
  </si>
  <si>
    <t xml:space="preserve">Auto-generated</t>
  </si>
  <si>
    <t xml:space="preserve">FeedbackID</t>
  </si>
  <si>
    <t xml:space="preserve">Brand</t>
  </si>
  <si>
    <t xml:space="preserve">AudienceType</t>
  </si>
  <si>
    <t xml:space="preserve">Specialty</t>
  </si>
  <si>
    <t xml:space="preserve">Subspecialty</t>
  </si>
  <si>
    <t xml:space="preserve">Region</t>
  </si>
  <si>
    <t xml:space="preserve">SourceRole</t>
  </si>
  <si>
    <t xml:space="preserve">SourceName</t>
  </si>
  <si>
    <t xml:space="preserve">SignalCategory</t>
  </si>
  <si>
    <t xml:space="preserve">ObservedBarrier</t>
  </si>
  <si>
    <t xml:space="preserve">RawFieldFeedback</t>
  </si>
  <si>
    <t xml:space="preserve">BeliefShiftRisk</t>
  </si>
  <si>
    <t xml:space="preserve">MessageMismatchRisk</t>
  </si>
  <si>
    <t xml:space="preserve">AccessRisk</t>
  </si>
  <si>
    <t xml:space="preserve">CompetitiveRisk</t>
  </si>
  <si>
    <t xml:space="preserve">UrgencyScore_1to5</t>
  </si>
  <si>
    <t xml:space="preserve">CredibilityScore_1to5</t>
  </si>
  <si>
    <t xml:space="preserve">FrequencyScore_1to5</t>
  </si>
  <si>
    <t xml:space="preserve">PotentialImpact_1to5</t>
  </si>
  <si>
    <t xml:space="preserve">TotalSignalScore</t>
  </si>
  <si>
    <t xml:space="preserve">CIOSSignalDirection</t>
  </si>
  <si>
    <t xml:space="preserve">SuggestedRoute</t>
  </si>
  <si>
    <t xml:space="preserve">PrimaryTargetPopulation</t>
  </si>
  <si>
    <t xml:space="preserve">MIOSMessagePriority</t>
  </si>
  <si>
    <t xml:space="preserve">OHOSObjectionPriority</t>
  </si>
  <si>
    <t xml:space="preserve">FieldActionNeeded</t>
  </si>
  <si>
    <t xml:space="preserve">FB-001</t>
  </si>
  <si>
    <t xml:space="preserve">2026-03-13</t>
  </si>
  <si>
    <t xml:space="preserve">ARIKAYCE</t>
  </si>
  <si>
    <t xml:space="preserve">HCP</t>
  </si>
  <si>
    <t xml:space="preserve">Pulmonology</t>
  </si>
  <si>
    <t xml:space="preserve">NTM-focused</t>
  </si>
  <si>
    <t xml:space="preserve">US South</t>
  </si>
  <si>
    <t xml:space="preserve">MSL</t>
  </si>
  <si>
    <t xml:space="preserve">Example KOL</t>
  </si>
  <si>
    <t xml:space="preserve">Clinical perception</t>
  </si>
  <si>
    <t xml:space="preserve">Culture conversion seen as less persuasive than symptom improvement</t>
  </si>
  <si>
    <t xml:space="preserve">Pulmonologists are asking for a more direct connection between microbiology and fatigue / functioning.</t>
  </si>
  <si>
    <t xml:space="preserve">CIOS→MIOS+OHOS</t>
  </si>
  <si>
    <t xml:space="preserve">Pulmonology / community</t>
  </si>
  <si>
    <t xml:space="preserve">Yes</t>
  </si>
  <si>
    <t xml:space="preserve">Use symptom-bridge framing</t>
  </si>
  <si>
    <t xml:space="preserve">FB-002</t>
  </si>
  <si>
    <t xml:space="preserve">Infectious Disease</t>
  </si>
  <si>
    <t xml:space="preserve">Academic ID</t>
  </si>
  <si>
    <t xml:space="preserve">Northeast</t>
  </si>
  <si>
    <t xml:space="preserve">Sales</t>
  </si>
  <si>
    <t xml:space="preserve">Top account</t>
  </si>
  <si>
    <t xml:space="preserve">Competitive message</t>
  </si>
  <si>
    <t xml:space="preserve">Competitor perceived as easier to position because mechanism is simpler</t>
  </si>
  <si>
    <t xml:space="preserve">ID specialists are still persuaded by microbiology but want cleaner differentiation vs alternatives.</t>
  </si>
  <si>
    <t xml:space="preserve">CIOS→OHOS</t>
  </si>
  <si>
    <t xml:space="preserve">Infectious Disease / academic</t>
  </si>
  <si>
    <t xml:space="preserve">Differentiate on evidence depth</t>
  </si>
  <si>
    <t xml:space="preserve">FB-003</t>
  </si>
  <si>
    <t xml:space="preserve">General Pulm</t>
  </si>
  <si>
    <t xml:space="preserve">Midwest</t>
  </si>
  <si>
    <t xml:space="preserve">Community account</t>
  </si>
  <si>
    <t xml:space="preserve">Access / workflow</t>
  </si>
  <si>
    <t xml:space="preserve">Diagnosis and referral pathway slowing consideration</t>
  </si>
  <si>
    <t xml:space="preserve">General pulmonologists need a simpler patient-identification story and referral confidence.</t>
  </si>
  <si>
    <t xml:space="preserve">CIOS→MIOS</t>
  </si>
  <si>
    <t xml:space="preserve">Pulmonology / general</t>
  </si>
  <si>
    <t xml:space="preserve">Simplify candidate-ID narrative</t>
  </si>
  <si>
    <t xml:space="preserve">SegmentID</t>
  </si>
  <si>
    <t xml:space="preserve">DecisionDriver1</t>
  </si>
  <si>
    <t xml:space="preserve">DecisionDriver2</t>
  </si>
  <si>
    <t xml:space="preserve">PreferredEvidenceType</t>
  </si>
  <si>
    <t xml:space="preserve">MessageEmphasis</t>
  </si>
  <si>
    <t xml:space="preserve">ProofNeed</t>
  </si>
  <si>
    <t xml:space="preserve">LikelyObjectionTheme</t>
  </si>
  <si>
    <t xml:space="preserve">OHOSResponseStyle</t>
  </si>
  <si>
    <t xml:space="preserve">FieldChannel</t>
  </si>
  <si>
    <t xml:space="preserve">PriorityRank</t>
  </si>
  <si>
    <t xml:space="preserve">SEG-001</t>
  </si>
  <si>
    <t xml:space="preserve">Symptoms / function</t>
  </si>
  <si>
    <t xml:space="preserve">Simple patient identification</t>
  </si>
  <si>
    <t xml:space="preserve">Clinical outcomes + practical framing</t>
  </si>
  <si>
    <t xml:space="preserve">Symptom bridge + candidate identification</t>
  </si>
  <si>
    <t xml:space="preserve">Real-world practicality</t>
  </si>
  <si>
    <t xml:space="preserve">Referral complexity / unclear patient fit</t>
  </si>
  <si>
    <t xml:space="preserve">Simple, mechanism-to-practice</t>
  </si>
  <si>
    <t xml:space="preserve">Sales + MSL</t>
  </si>
  <si>
    <t xml:space="preserve">SEG-002</t>
  </si>
  <si>
    <t xml:space="preserve">Disease control</t>
  </si>
  <si>
    <t xml:space="preserve">Evidence depth</t>
  </si>
  <si>
    <t xml:space="preserve">Microbiology + clinical linkage</t>
  </si>
  <si>
    <t xml:space="preserve">Disease control → symptom/function</t>
  </si>
  <si>
    <t xml:space="preserve">Scientific linkage</t>
  </si>
  <si>
    <t xml:space="preserve">Need proof that endpoint matters clinically</t>
  </si>
  <si>
    <t xml:space="preserve">Evidence bridge with mechanistic logic</t>
  </si>
  <si>
    <t xml:space="preserve">MSL-led</t>
  </si>
  <si>
    <t xml:space="preserve">SEG-003</t>
  </si>
  <si>
    <t xml:space="preserve">Microbiology</t>
  </si>
  <si>
    <t xml:space="preserve">Differentiation</t>
  </si>
  <si>
    <t xml:space="preserve">Comparative evidence depth</t>
  </si>
  <si>
    <t xml:space="preserve">Evidence hierarchy + differentiation</t>
  </si>
  <si>
    <t xml:space="preserve">Study design rigor</t>
  </si>
  <si>
    <t xml:space="preserve">Alternative options easier to explain</t>
  </si>
  <si>
    <t xml:space="preserve">Structured objection ladder</t>
  </si>
  <si>
    <t xml:space="preserve">Field Intelligence Routing Engine</t>
  </si>
  <si>
    <t xml:space="preserve">EscalationLevel</t>
  </si>
  <si>
    <t xml:space="preserve">RecommendedOwner</t>
  </si>
  <si>
    <t xml:space="preserve">RecommendedOutput</t>
  </si>
  <si>
    <t xml:space="preserve">FieldTeam</t>
  </si>
  <si>
    <t xml:space="preserve">Field Guidance Output</t>
  </si>
  <si>
    <t xml:space="preserve">Latest high-priority feedback</t>
  </si>
  <si>
    <t xml:space="preserve">MIOS implication</t>
  </si>
  <si>
    <t xml:space="preserve">Update message hierarchy, proof sequence, and segment-specific belief bridge.</t>
  </si>
  <si>
    <t xml:space="preserve">Primary target population</t>
  </si>
  <si>
    <t xml:space="preserve">OHOS implication</t>
  </si>
  <si>
    <t xml:space="preserve">Recommended route</t>
  </si>
  <si>
    <t xml:space="preserve">Refine objection modules and response cards for the affected segment.</t>
  </si>
  <si>
    <t xml:space="preserve">Escalation level</t>
  </si>
  <si>
    <t xml:space="preserve">Recommended owner</t>
  </si>
  <si>
    <t xml:space="preserve">Sales / MSL implication</t>
  </si>
  <si>
    <t xml:space="preserve">Deploy differentiated talk tracks by specialty and subspecialty; monitor recurrence in next cycle.</t>
  </si>
  <si>
    <t xml:space="preserve">Updated field direction</t>
  </si>
  <si>
    <t xml:space="preserve">1. Anchor the discussion in the segment's dominant decision driver.</t>
  </si>
  <si>
    <t xml:space="preserve">2. Bridge evidence to the clinical endpoint that the segment finds meaningful.</t>
  </si>
  <si>
    <t xml:space="preserve">3. Use the objection ladder only after the segment-specific framing is established.</t>
  </si>
  <si>
    <t xml:space="preserve">4. Escalate recurring objections with high signal scores into OHOS within the same review cycle.</t>
  </si>
  <si>
    <t xml:space="preserve">Segment</t>
  </si>
  <si>
    <t xml:space="preserve">What to lead with</t>
  </si>
  <si>
    <t xml:space="preserve">What to avoid</t>
  </si>
  <si>
    <t xml:space="preserve">Proof asset to use</t>
  </si>
  <si>
    <t xml:space="preserve">Call objective</t>
  </si>
  <si>
    <t xml:space="preserve">Escalate if...</t>
  </si>
  <si>
    <t xml:space="preserve">Symptoms, function, simpler patient identification</t>
  </si>
  <si>
    <t xml:space="preserve">Opening with endpoint jargon alone</t>
  </si>
  <si>
    <t xml:space="preserve">Practical patient-fit aid</t>
  </si>
  <si>
    <t xml:space="preserve">Create confidence in candidate identification</t>
  </si>
  <si>
    <t xml:space="preserve">same objection appears across 3+ accounts</t>
  </si>
  <si>
    <t xml:space="preserve">Pulmonology / NTM-focused</t>
  </si>
  <si>
    <t xml:space="preserve">Disease control linked to patient meaning</t>
  </si>
  <si>
    <t xml:space="preserve">Oversimplifying evidence depth</t>
  </si>
  <si>
    <t xml:space="preserve">Mechanistic bridge + outcomes detail</t>
  </si>
  <si>
    <t xml:space="preserve">Strengthen belief that endpoint matters clinically</t>
  </si>
  <si>
    <t xml:space="preserve">clinical skepticism intensifies</t>
  </si>
  <si>
    <t xml:space="preserve">Evidence depth and differentiation</t>
  </si>
  <si>
    <t xml:space="preserve">Over-indexing on broad symptom language</t>
  </si>
  <si>
    <t xml:space="preserve">Evidence hierarchy summary</t>
  </si>
  <si>
    <t xml:space="preserve">Defend scientific distinctiveness</t>
  </si>
  <si>
    <t xml:space="preserve">comparative objection persists</t>
  </si>
  <si>
    <t xml:space="preserve">Scientific angle</t>
  </si>
  <si>
    <t xml:space="preserve">Core bridge</t>
  </si>
  <si>
    <t xml:space="preserve">Likely challenge</t>
  </si>
  <si>
    <t xml:space="preserve">MSL response mode</t>
  </si>
  <si>
    <t xml:space="preserve">Evidence follow-up needed</t>
  </si>
  <si>
    <t xml:space="preserve">Microbiology to clinical meaning</t>
  </si>
  <si>
    <t xml:space="preserve">Endpoint clinical relevance</t>
  </si>
  <si>
    <t xml:space="preserve">Mechanism + evidence bridge</t>
  </si>
  <si>
    <t xml:space="preserve">Comparative evidence architecture</t>
  </si>
  <si>
    <t xml:space="preserve">Endpoint rigor → treatment confidence</t>
  </si>
  <si>
    <t xml:space="preserve">Structured scientific differentiation</t>
  </si>
  <si>
    <t xml:space="preserve">Patient identification and referral logic</t>
  </si>
  <si>
    <t xml:space="preserve">Candidate clarity → treatment confidence</t>
  </si>
  <si>
    <t xml:space="preserve">Workflow burden</t>
  </si>
  <si>
    <t xml:space="preserve">Practical scientific framing</t>
  </si>
  <si>
    <t xml:space="preserve">Maybe</t>
  </si>
  <si>
    <t xml:space="preserve">Closed-Loop Deployment Tracker</t>
  </si>
  <si>
    <t xml:space="preserve">DeploymentID</t>
  </si>
  <si>
    <t xml:space="preserve">Account</t>
  </si>
  <si>
    <t xml:space="preserve">DeploymentDate</t>
  </si>
  <si>
    <t xml:space="preserve">DeploymentType</t>
  </si>
  <si>
    <t xml:space="preserve">MessageVersion</t>
  </si>
  <si>
    <t xml:space="preserve">OHOSModuleVersion</t>
  </si>
  <si>
    <t xml:space="preserve">MIOSUpdateFlag</t>
  </si>
  <si>
    <t xml:space="preserve">ReviewDate</t>
  </si>
  <si>
    <t xml:space="preserve">ObservationWindow_Days</t>
  </si>
  <si>
    <t xml:space="preserve">PreObjectionRate</t>
  </si>
  <si>
    <t xml:space="preserve">PostObjectionRate</t>
  </si>
  <si>
    <t xml:space="preserve">PreAccessFriction</t>
  </si>
  <si>
    <t xml:space="preserve">PostAccessFriction</t>
  </si>
  <si>
    <t xml:space="preserve">PreEngagementScore</t>
  </si>
  <si>
    <t xml:space="preserve">PostEngagementScore</t>
  </si>
  <si>
    <t xml:space="preserve">ObjectionChange</t>
  </si>
  <si>
    <t xml:space="preserve">AccessFrictionChange</t>
  </si>
  <si>
    <t xml:space="preserve">EngagementChange</t>
  </si>
  <si>
    <t xml:space="preserve">NetFieldImprovement</t>
  </si>
  <si>
    <t xml:space="preserve">EscalateBackToCIOS</t>
  </si>
  <si>
    <t xml:space="preserve">DEP-001</t>
  </si>
  <si>
    <t xml:space="preserve">Community Pulm Account A</t>
  </si>
  <si>
    <t xml:space="preserve">Update core message + objection module + segment guidance</t>
  </si>
  <si>
    <t xml:space="preserve">2026-03-20</t>
  </si>
  <si>
    <t xml:space="preserve">Message + training</t>
  </si>
  <si>
    <t xml:space="preserve">MSG-v2</t>
  </si>
  <si>
    <t xml:space="preserve">OHOS-v2</t>
  </si>
  <si>
    <t xml:space="preserve">Brand Strategy</t>
  </si>
  <si>
    <t xml:space="preserve">Live</t>
  </si>
  <si>
    <t xml:space="preserve">2026-04-20</t>
  </si>
  <si>
    <t xml:space="preserve">DEP-002</t>
  </si>
  <si>
    <t xml:space="preserve">Academic ID Center</t>
  </si>
  <si>
    <t xml:space="preserve">Update objection ladder + response card</t>
  </si>
  <si>
    <t xml:space="preserve">2026-03-22</t>
  </si>
  <si>
    <t xml:space="preserve">Scientific objection update</t>
  </si>
  <si>
    <t xml:space="preserve">OHOS-v3</t>
  </si>
  <si>
    <t xml:space="preserve">No</t>
  </si>
  <si>
    <t xml:space="preserve">Field Strategy</t>
  </si>
  <si>
    <t xml:space="preserve">2026-04-22</t>
  </si>
  <si>
    <t xml:space="preserve">DEP-003</t>
  </si>
  <si>
    <t xml:space="preserve">General Pulm Network B</t>
  </si>
  <si>
    <t xml:space="preserve">Update message architecture + segment narrative</t>
  </si>
  <si>
    <t xml:space="preserve">2026-03-25</t>
  </si>
  <si>
    <t xml:space="preserve">Message simplification</t>
  </si>
  <si>
    <t xml:space="preserve">MSG-v3</t>
  </si>
  <si>
    <t xml:space="preserve">Medical Strategy</t>
  </si>
  <si>
    <t xml:space="preserve">Planned</t>
  </si>
  <si>
    <t xml:space="preserve">2026-04-25</t>
  </si>
  <si>
    <t xml:space="preserve">Segment Outcome Tracker</t>
  </si>
  <si>
    <t xml:space="preserve">Deployments</t>
  </si>
  <si>
    <t xml:space="preserve">AvgPreObjectionRate</t>
  </si>
  <si>
    <t xml:space="preserve">AvgPostObjectionRate</t>
  </si>
  <si>
    <t xml:space="preserve">AvgPreAccessFriction</t>
  </si>
  <si>
    <t xml:space="preserve">AvgPostAccessFriction</t>
  </si>
  <si>
    <t xml:space="preserve">AvgPreEngagement</t>
  </si>
  <si>
    <t xml:space="preserve">AvgPostEngagement</t>
  </si>
  <si>
    <t xml:space="preserve">AvgObjectionChange</t>
  </si>
  <si>
    <t xml:space="preserve">AvgAccessChange</t>
  </si>
  <si>
    <t xml:space="preserve">AvgEngagementChange</t>
  </si>
  <si>
    <t xml:space="preserve">AvgNetFieldImprovement</t>
  </si>
  <si>
    <t xml:space="preserve">Account Feedback Loop</t>
  </si>
  <si>
    <t xml:space="preserve">LatestDeploymentID</t>
  </si>
  <si>
    <t xml:space="preserve">PreEngagement</t>
  </si>
  <si>
    <t xml:space="preserve">PostEngagement</t>
  </si>
  <si>
    <t xml:space="preserve">RecommendedNextMove</t>
  </si>
  <si>
    <t xml:space="preserve">SendBackToMIOS</t>
  </si>
  <si>
    <t xml:space="preserve">SendBackToOHOS</t>
  </si>
  <si>
    <t xml:space="preserve">FollowUpOwner</t>
  </si>
  <si>
    <t xml:space="preserve">Closed-Loop Deployment Dashboard</t>
  </si>
  <si>
    <t xml:space="preserve">Live deployments</t>
  </si>
  <si>
    <t xml:space="preserve">System reading</t>
  </si>
  <si>
    <t xml:space="preserve">Planned deployments</t>
  </si>
  <si>
    <t xml:space="preserve">Average net field improvement</t>
  </si>
  <si>
    <t xml:space="preserve">Accounts to send back to MIOS</t>
  </si>
  <si>
    <t xml:space="preserve">What to do next</t>
  </si>
  <si>
    <t xml:space="preserve">Accounts to send back to OHOS</t>
  </si>
  <si>
    <t xml:space="preserve">Segments improving strongly</t>
  </si>
  <si>
    <t xml:space="preserve">Avg Net Improvement</t>
  </si>
  <si>
    <t xml:space="preserve">Next Move</t>
  </si>
  <si>
    <t xml:space="preserve">Back to MIOS</t>
  </si>
  <si>
    <t xml:space="preserve">Back to OHOS</t>
  </si>
  <si>
    <t xml:space="preserve">Closed-Loop Deployment Instructions</t>
  </si>
  <si>
    <t xml:space="preserve">1. Add new deployed changes to DeploymentTracker after message or objection updates go live.</t>
  </si>
  <si>
    <t xml:space="preserve">2. Record pre- and post-deployment objection rate, access friction, and engagement score by account.</t>
  </si>
  <si>
    <t xml:space="preserve">3. Review SegmentOutcomeTracker to see whether the updated message is working by specialty/subspecialty.</t>
  </si>
  <si>
    <t xml:space="preserve">4. Review AccountFeedbackLoop to identify where the update should be sent back to MIOS or OHOS.</t>
  </si>
  <si>
    <t xml:space="preserve">5. Use ClosedLoopDashboard as the leadership summary to show whether field change is reducing friction.</t>
  </si>
  <si>
    <t xml:space="preserve">6. Architectural rule: CIOS detects and scores change; MIOS updates message architecture; OHOS updates objection response; field teams execute and measure.</t>
  </si>
  <si>
    <t xml:space="preserve">Automation Layer - Source Monitor Configuration</t>
  </si>
  <si>
    <t xml:space="preserve">SourceID</t>
  </si>
  <si>
    <t xml:space="preserve">SourceType</t>
  </si>
  <si>
    <t xml:space="preserve">CoverageFocus</t>
  </si>
  <si>
    <t xml:space="preserve">MonitorFrequency</t>
  </si>
  <si>
    <t xml:space="preserve">TriggerPattern</t>
  </si>
  <si>
    <t xml:space="preserve">ExpectedSignalType</t>
  </si>
  <si>
    <t xml:space="preserve">DefaultBrand</t>
  </si>
  <si>
    <t xml:space="preserve">DefaultRoute</t>
  </si>
  <si>
    <t xml:space="preserve">Priority</t>
  </si>
  <si>
    <t xml:space="preserve">Active</t>
  </si>
  <si>
    <t xml:space="preserve">SRC-001</t>
  </si>
  <si>
    <t xml:space="preserve">Literature</t>
  </si>
  <si>
    <t xml:space="preserve">PubMed</t>
  </si>
  <si>
    <t xml:space="preserve">Clinical / medical evidence</t>
  </si>
  <si>
    <t xml:space="preserve">Weekly</t>
  </si>
  <si>
    <t xml:space="preserve">new trial|meta-analysis|safety|guideline</t>
  </si>
  <si>
    <t xml:space="preserve">SRC-002</t>
  </si>
  <si>
    <t xml:space="preserve">Trials</t>
  </si>
  <si>
    <t xml:space="preserve">Trial status and readouts</t>
  </si>
  <si>
    <t xml:space="preserve">recruiting complete|interim|primary completion|results posted</t>
  </si>
  <si>
    <t xml:space="preserve">CIOS</t>
  </si>
  <si>
    <t xml:space="preserve">SRC-003</t>
  </si>
  <si>
    <t xml:space="preserve">Conference</t>
  </si>
  <si>
    <t xml:space="preserve">Medical congress abstracts</t>
  </si>
  <si>
    <t xml:space="preserve">Abstracts and presentations</t>
  </si>
  <si>
    <t xml:space="preserve">late-breaker|abstract|poster|oral presentation</t>
  </si>
  <si>
    <t xml:space="preserve">SRC-004</t>
  </si>
  <si>
    <t xml:space="preserve">Press releases / earnings / payer bulletins</t>
  </si>
  <si>
    <t xml:space="preserve">Market access and competition</t>
  </si>
  <si>
    <t xml:space="preserve">coverage|launch|label|guidance|commercial update</t>
  </si>
  <si>
    <t xml:space="preserve">SRC-005</t>
  </si>
  <si>
    <t xml:space="preserve">Field</t>
  </si>
  <si>
    <t xml:space="preserve">MSL / sales / KOL notes</t>
  </si>
  <si>
    <t xml:space="preserve">Field resistance and adoption barriers</t>
  </si>
  <si>
    <t xml:space="preserve">objection recurring|workflow|patient fit|comparative challenge</t>
  </si>
  <si>
    <t xml:space="preserve">Field intelligence</t>
  </si>
  <si>
    <t xml:space="preserve">Candidate Signal Queue</t>
  </si>
  <si>
    <t xml:space="preserve">CandidateID</t>
  </si>
  <si>
    <t xml:space="preserve">DateDetected</t>
  </si>
  <si>
    <t xml:space="preserve">RawSourceType</t>
  </si>
  <si>
    <t xml:space="preserve">Headline</t>
  </si>
  <si>
    <t xml:space="preserve">RawObservation</t>
  </si>
  <si>
    <t xml:space="preserve">ProposedSignalCategory</t>
  </si>
  <si>
    <t xml:space="preserve">ProposedDirection</t>
  </si>
  <si>
    <t xml:space="preserve">Urgency_1to5</t>
  </si>
  <si>
    <t xml:space="preserve">Credibility_1to5</t>
  </si>
  <si>
    <t xml:space="preserve">Frequency_1to5</t>
  </si>
  <si>
    <t xml:space="preserve">AutomationPriorityScore</t>
  </si>
  <si>
    <t xml:space="preserve">TargetSegment</t>
  </si>
  <si>
    <t xml:space="preserve">AnalystStatus</t>
  </si>
  <si>
    <t xml:space="preserve">AnalystDecision</t>
  </si>
  <si>
    <t xml:space="preserve">ValidationNotes</t>
  </si>
  <si>
    <t xml:space="preserve">ValidatedSignalID</t>
  </si>
  <si>
    <t xml:space="preserve">CS-001</t>
  </si>
  <si>
    <t xml:space="preserve">New publication emphasizes patient-relevant outcomes linkage</t>
  </si>
  <si>
    <t xml:space="preserve">A new publication appears to strengthen the bridge between microbiology and function.</t>
  </si>
  <si>
    <t xml:space="preserve">Clinical evidence</t>
  </si>
  <si>
    <t xml:space="preserve">Queued</t>
  </si>
  <si>
    <t xml:space="preserve">CS-002</t>
  </si>
  <si>
    <t xml:space="preserve">Field notes</t>
  </si>
  <si>
    <t xml:space="preserve">Community pulmonologists still unclear on patient-fit</t>
  </si>
  <si>
    <t xml:space="preserve">Multiple accounts continue to ask for a simpler identification and referral story.</t>
  </si>
  <si>
    <t xml:space="preserve">CS-003</t>
  </si>
  <si>
    <t xml:space="preserve">Payer bulletin</t>
  </si>
  <si>
    <t xml:space="preserve">Coverage update may lower access friction in selected plans</t>
  </si>
  <si>
    <t xml:space="preserve">Emerging coverage shift could reduce reimbursement obstacles in target accounts.</t>
  </si>
  <si>
    <t xml:space="preserve">Access / commercial</t>
  </si>
  <si>
    <t xml:space="preserve">Signal Normalization Workbench</t>
  </si>
  <si>
    <t xml:space="preserve">NormalizedSignalDescription</t>
  </si>
  <si>
    <t xml:space="preserve">StrengthScore_1to5</t>
  </si>
  <si>
    <t xml:space="preserve">ReliabilityScore_1to5</t>
  </si>
  <si>
    <t xml:space="preserve">LikelihoodRatio</t>
  </si>
  <si>
    <t xml:space="preserve">SuggestedLinkedSystem</t>
  </si>
  <si>
    <t xml:space="preserve">TargetPopulation</t>
  </si>
  <si>
    <t xml:space="preserve">ProposedOwner</t>
  </si>
  <si>
    <t xml:space="preserve">ReadyForRegister</t>
  </si>
  <si>
    <t xml:space="preserve">Analyst Validation Workbench</t>
  </si>
  <si>
    <t xml:space="preserve">PriorityScore</t>
  </si>
  <si>
    <t xml:space="preserve">ValidationDecision</t>
  </si>
  <si>
    <t xml:space="preserve">RegisterSignalID</t>
  </si>
  <si>
    <t xml:space="preserve">SendToMIOS</t>
  </si>
  <si>
    <t xml:space="preserve">SendToOHOS</t>
  </si>
  <si>
    <t xml:space="preserve">Comments</t>
  </si>
  <si>
    <t xml:space="preserve">Validated Signal Register Push</t>
  </si>
  <si>
    <t xml:space="preserve">StrengthScore</t>
  </si>
  <si>
    <t xml:space="preserve">ReliabilityScore</t>
  </si>
  <si>
    <t xml:space="preserve">Route</t>
  </si>
  <si>
    <t xml:space="preserve">MIOSFlag</t>
  </si>
  <si>
    <t xml:space="preserve">OHOSFlag</t>
  </si>
  <si>
    <t xml:space="preserve">ReadyForManualCopy</t>
  </si>
  <si>
    <t xml:space="preserve">Automation Layer Dashboard</t>
  </si>
  <si>
    <t xml:space="preserve">Queued candidates</t>
  </si>
  <si>
    <t xml:space="preserve">In review</t>
  </si>
  <si>
    <t xml:space="preserve">Approved</t>
  </si>
  <si>
    <t xml:space="preserve">Rejected</t>
  </si>
  <si>
    <t xml:space="preserve">Next action</t>
  </si>
  <si>
    <t xml:space="preserve">Escalated</t>
  </si>
  <si>
    <t xml:space="preserve">Ready for SignalRegister</t>
  </si>
  <si>
    <t xml:space="preserve">Top candidate</t>
  </si>
  <si>
    <t xml:space="preserve">Analyst decision</t>
  </si>
  <si>
    <t xml:space="preserve">Automation Layer Instructions</t>
  </si>
  <si>
    <t xml:space="preserve">1. Configure monitored sources in SourceMonitorConfig by source type, trigger patterns, and route.</t>
  </si>
  <si>
    <t xml:space="preserve">2. Add machine-detected candidate observations into CandidateSignalQueue.</t>
  </si>
  <si>
    <t xml:space="preserve">3. Use SignalNormalization to convert raw observations into structured signal fields.</t>
  </si>
  <si>
    <t xml:space="preserve">4. Analyst reviews the normalized candidates in ValidationWorkbench and marks Approve / Reject / Escalate / Hold.</t>
  </si>
  <si>
    <t xml:space="preserve">5. Approved candidates populate RegisterPush and can be copied into CIOS SignalRegister and routed to MIOS / OHOS.</t>
  </si>
  <si>
    <t xml:space="preserve">6. Architectural rule: automation proposes candidate signals; humans validate before they affect the core engine.</t>
  </si>
  <si>
    <t xml:space="preserve">7. This keeps CIOS deterministic while still allowing scalable signal intake.</t>
  </si>
  <si>
    <t xml:space="preserve">StrategicQuestion</t>
  </si>
  <si>
    <t xml:space="preserve">OutcomeDefinition</t>
  </si>
  <si>
    <t xml:space="preserve">TimeHorizon</t>
  </si>
  <si>
    <t xml:space="preserve">ConfidenceLevel</t>
  </si>
  <si>
    <t xml:space="preserve">LastUpdate</t>
  </si>
  <si>
    <t xml:space="preserve">V18 upgrade</t>
  </si>
  <si>
    <t xml:space="preserve">Actor-reaction layer inserted between signal structuring and core probability update.</t>
  </si>
  <si>
    <t xml:space="preserve">Pharma tuning</t>
  </si>
  <si>
    <t xml:space="preserve">Actor logic now adapts by specialty profile, payer environment, guideline leverage, competitor profile, and target-population keywords.</t>
  </si>
  <si>
    <t xml:space="preserve">V19 upgrade</t>
  </si>
  <si>
    <t xml:space="preserve">Specialty-specific actor sets now swap the active actor composition by therapeutic context while preserving the same probability engine.</t>
  </si>
  <si>
    <t xml:space="preserve">CIOS V18 Case Header</t>
  </si>
  <si>
    <t xml:space="preserve">Value</t>
  </si>
  <si>
    <t xml:space="preserve">CASE-001</t>
  </si>
  <si>
    <t xml:space="preserve">Will the monitored brand move closer to target adoption given the current validated signal set?</t>
  </si>
  <si>
    <t xml:space="preserve">Net probability that the target outcome becomes more likely after signal validation and actor-response translation.</t>
  </si>
  <si>
    <t xml:space="preserve">12 months</t>
  </si>
  <si>
    <t xml:space="preserve">PriorProbability</t>
  </si>
  <si>
    <t xml:space="preserve">SignalCount</t>
  </si>
  <si>
    <t xml:space="preserve">PrimaryBrand</t>
  </si>
  <si>
    <t xml:space="preserve">TopSupportiveActor</t>
  </si>
  <si>
    <t xml:space="preserve">TopConstrainingActor</t>
  </si>
  <si>
    <t xml:space="preserve">PrimarySpecialtyProfile</t>
  </si>
  <si>
    <t xml:space="preserve">General</t>
  </si>
  <si>
    <t xml:space="preserve">PayerEnvironment</t>
  </si>
  <si>
    <t xml:space="preserve">Balanced</t>
  </si>
  <si>
    <t xml:space="preserve">GuidelineLeverage</t>
  </si>
  <si>
    <t xml:space="preserve">CompetitorProfile</t>
  </si>
  <si>
    <t xml:space="preserve">Entrenched standard of care</t>
  </si>
  <si>
    <t xml:space="preserve">UpgradeNote</t>
  </si>
  <si>
    <t xml:space="preserve">V19 adds specialty-specific actor sets while preserving the V18 actor-reaction and probability architecture.</t>
  </si>
  <si>
    <t xml:space="preserve">ActiveActorSet</t>
  </si>
  <si>
    <t xml:space="preserve">CIOS V18 Signal Register</t>
  </si>
  <si>
    <t xml:space="preserve">WeightedSignalScore</t>
  </si>
  <si>
    <t xml:space="preserve">ActorAdjustedImpact</t>
  </si>
  <si>
    <t xml:space="preserve">ActiveLikelihoodRatio</t>
  </si>
  <si>
    <t xml:space="preserve">AbsoluteImpact</t>
  </si>
  <si>
    <t xml:space="preserve">CIOS V19 Actor Configuration</t>
  </si>
  <si>
    <t xml:space="preserve">Actor</t>
  </si>
  <si>
    <t xml:space="preserve">InfluenceWeight</t>
  </si>
  <si>
    <t xml:space="preserve">PositiveResponseFactor</t>
  </si>
  <si>
    <t xml:space="preserve">NegativeResponseFactor</t>
  </si>
  <si>
    <t xml:space="preserve">OutcomeOrientation</t>
  </si>
  <si>
    <t xml:space="preserve">RoleInSystem</t>
  </si>
  <si>
    <t xml:space="preserve">BaseInfluenceWeight</t>
  </si>
  <si>
    <t xml:space="preserve">SpecialtyModifier</t>
  </si>
  <si>
    <t xml:space="preserve">PayerModifier</t>
  </si>
  <si>
    <t xml:space="preserve">GuidelineModifier</t>
  </si>
  <si>
    <t xml:space="preserve">CompetitorModifier</t>
  </si>
  <si>
    <t xml:space="preserve">RawWeight</t>
  </si>
  <si>
    <t xml:space="preserve">BasePositiveResponseFactor</t>
  </si>
  <si>
    <t xml:space="preserve">BaseNegativeResponseFactor</t>
  </si>
  <si>
    <t xml:space="preserve">CanonicalActor</t>
  </si>
  <si>
    <t xml:space="preserve">Specialty Profile Modifiers</t>
  </si>
  <si>
    <t xml:space="preserve">Signal-Type Actor Multipliers</t>
  </si>
  <si>
    <t xml:space="preserve">SpecialtyProfile</t>
  </si>
  <si>
    <t xml:space="preserve">Academic KOLs</t>
  </si>
  <si>
    <t xml:space="preserve">Community Physicians</t>
  </si>
  <si>
    <t xml:space="preserve">Payers / Access</t>
  </si>
  <si>
    <t xml:space="preserve">Guideline Bodies</t>
  </si>
  <si>
    <t xml:space="preserve">Health Systems</t>
  </si>
  <si>
    <t xml:space="preserve">Competitor Counteraction</t>
  </si>
  <si>
    <t xml:space="preserve">Pulmonology / rare disease</t>
  </si>
  <si>
    <t xml:space="preserve">Cardiology / mixed specialist</t>
  </si>
  <si>
    <t xml:space="preserve">Oncology / academic-led</t>
  </si>
  <si>
    <t xml:space="preserve">Guideline / policy</t>
  </si>
  <si>
    <t xml:space="preserve">Dermatology / community-led</t>
  </si>
  <si>
    <t xml:space="preserve">Safety / tolerability</t>
  </si>
  <si>
    <t xml:space="preserve">Psychiatry / access-sensitive</t>
  </si>
  <si>
    <t xml:space="preserve">Operational / deployment</t>
  </si>
  <si>
    <t xml:space="preserve">Infectious disease / guideline-led</t>
  </si>
  <si>
    <t xml:space="preserve">Competitive</t>
  </si>
  <si>
    <t xml:space="preserve">HEOR / economic</t>
  </si>
  <si>
    <t xml:space="preserve">Payer Environment Modifiers</t>
  </si>
  <si>
    <t xml:space="preserve">KOL sentiment</t>
  </si>
  <si>
    <t xml:space="preserve">Patient / demand</t>
  </si>
  <si>
    <t xml:space="preserve">Outcomes / PRO</t>
  </si>
  <si>
    <t xml:space="preserve">Unmapped</t>
  </si>
  <si>
    <t xml:space="preserve">Commercial-heavy</t>
  </si>
  <si>
    <t xml:space="preserve">Medicare-heavy</t>
  </si>
  <si>
    <t xml:space="preserve">Population / Description Keyword Multipliers</t>
  </si>
  <si>
    <t xml:space="preserve">Medicaid-heavy</t>
  </si>
  <si>
    <t xml:space="preserve">Integrated delivery / IDN</t>
  </si>
  <si>
    <t xml:space="preserve">Keyword</t>
  </si>
  <si>
    <t xml:space="preserve">academic</t>
  </si>
  <si>
    <t xml:space="preserve">Guideline Leverage Modifiers</t>
  </si>
  <si>
    <t xml:space="preserve">kol</t>
  </si>
  <si>
    <t xml:space="preserve">community</t>
  </si>
  <si>
    <t xml:space="preserve">specialist</t>
  </si>
  <si>
    <t xml:space="preserve">Low</t>
  </si>
  <si>
    <t xml:space="preserve">primary care</t>
  </si>
  <si>
    <t xml:space="preserve">payer</t>
  </si>
  <si>
    <t xml:space="preserve">access</t>
  </si>
  <si>
    <t xml:space="preserve">formulary</t>
  </si>
  <si>
    <t xml:space="preserve">Competitor Profile Modifiers</t>
  </si>
  <si>
    <t xml:space="preserve">guideline</t>
  </si>
  <si>
    <t xml:space="preserve">hospital</t>
  </si>
  <si>
    <t xml:space="preserve">health system</t>
  </si>
  <si>
    <t xml:space="preserve">Whitespace / limited direct competition</t>
  </si>
  <si>
    <t xml:space="preserve">idn</t>
  </si>
  <si>
    <t xml:space="preserve">pulmonology</t>
  </si>
  <si>
    <t xml:space="preserve">Aggressive branded competitor</t>
  </si>
  <si>
    <t xml:space="preserve">cardiology</t>
  </si>
  <si>
    <t xml:space="preserve">Generic erosion risk</t>
  </si>
  <si>
    <t xml:space="preserve">oncology</t>
  </si>
  <si>
    <t xml:space="preserve">Crowded class / multiple competitors</t>
  </si>
  <si>
    <t xml:space="preserve">dermatology</t>
  </si>
  <si>
    <t xml:space="preserve">psychiatry</t>
  </si>
  <si>
    <t xml:space="preserve">infectious disease</t>
  </si>
  <si>
    <t xml:space="preserve">competitor</t>
  </si>
  <si>
    <t xml:space="preserve">generic</t>
  </si>
  <si>
    <t xml:space="preserve">launch</t>
  </si>
  <si>
    <t xml:space="preserve">switch</t>
  </si>
  <si>
    <t xml:space="preserve">CIOS V19 Specialty Actor Sets</t>
  </si>
  <si>
    <t xml:space="preserve">ActorSlot</t>
  </si>
  <si>
    <t xml:space="preserve">DisplayActor</t>
  </si>
  <si>
    <t xml:space="preserve">Cross-specialty scientific validators and early adopters.</t>
  </si>
  <si>
    <t xml:space="preserve">Broad treating base whose behavior determines real-world conversion.</t>
  </si>
  <si>
    <t xml:space="preserve">Specialty Extenders / PCPs</t>
  </si>
  <si>
    <t xml:space="preserve">Secondary prescribers or extenders who amplify practical uptake.</t>
  </si>
  <si>
    <t xml:space="preserve">Coverage and reimbursement gatekeepers.</t>
  </si>
  <si>
    <t xml:space="preserve">Guideline / Society Bodies</t>
  </si>
  <si>
    <t xml:space="preserve">Formal recommendation-setting organizations.</t>
  </si>
  <si>
    <t xml:space="preserve">Counter-detailing, access defense, and class-noise response.</t>
  </si>
  <si>
    <t xml:space="preserve">Academic Pulmonologists</t>
  </si>
  <si>
    <t xml:space="preserve">Reference-center pulmonologists and rare-disease KOLs shaping standards.</t>
  </si>
  <si>
    <t xml:space="preserve">Community Pulmonologists</t>
  </si>
  <si>
    <t xml:space="preserve">Office and hospital pulmonologists who determine scale.</t>
  </si>
  <si>
    <t xml:space="preserve">ID / Bronchiectasis Specialists</t>
  </si>
  <si>
    <t xml:space="preserve">Subspecialty experts influencing treatment algorithms and referral logic.</t>
  </si>
  <si>
    <t xml:space="preserve">Coverage and prior-authorization gatekeepers.</t>
  </si>
  <si>
    <t xml:space="preserve">Reference Centers / Health Systems</t>
  </si>
  <si>
    <t xml:space="preserve">Centers of excellence and integrated systems controlling implementation.</t>
  </si>
  <si>
    <t xml:space="preserve">Alternative regimens or entrenched management patterns resisting change.</t>
  </si>
  <si>
    <t xml:space="preserve">Academic Cardiologists</t>
  </si>
  <si>
    <t xml:space="preserve">Academic interventional and imaging leaders who validate evidence.</t>
  </si>
  <si>
    <t xml:space="preserve">Community Cardiologists</t>
  </si>
  <si>
    <t xml:space="preserve">Broad office-based cardiology segment driving adoption volume.</t>
  </si>
  <si>
    <t xml:space="preserve">EP / Structural Specialists</t>
  </si>
  <si>
    <t xml:space="preserve">Procedure-driven subspecialists and program-build stakeholders.</t>
  </si>
  <si>
    <t xml:space="preserve">Medicare and commercial access decision-makers.</t>
  </si>
  <si>
    <t xml:space="preserve">Hospital Systems / Cath Labs</t>
  </si>
  <si>
    <t xml:space="preserve">Operational implementers, service-line leaders, and site economics owners.</t>
  </si>
  <si>
    <t xml:space="preserve">Competitor Device / Pharma Response</t>
  </si>
  <si>
    <t xml:space="preserve">Incumbent therapeutic response and contracting defense.</t>
  </si>
  <si>
    <t xml:space="preserve">Academic Oncologists</t>
  </si>
  <si>
    <t xml:space="preserve">Academic investigators and congress-visible opinion leaders.</t>
  </si>
  <si>
    <t xml:space="preserve">Community Oncologists</t>
  </si>
  <si>
    <t xml:space="preserve">Community treatment networks that determine broad penetration.</t>
  </si>
  <si>
    <t xml:space="preserve">Tumor Boards / Pathway Committees</t>
  </si>
  <si>
    <t xml:space="preserve">Pathway and protocol setters shaping regimen choice.</t>
  </si>
  <si>
    <t xml:space="preserve">Payers / Pathways</t>
  </si>
  <si>
    <t xml:space="preserve">Access and pathway gatekeepers for line-of-therapy use.</t>
  </si>
  <si>
    <t xml:space="preserve">Infusion Networks / Health Systems</t>
  </si>
  <si>
    <t xml:space="preserve">Operational infusion and site-of-care stakeholders.</t>
  </si>
  <si>
    <t xml:space="preserve">Class competition, sequencing defense, and trial countermessaging.</t>
  </si>
  <si>
    <t xml:space="preserve">Academic Dermatologists</t>
  </si>
  <si>
    <t xml:space="preserve">Evidence validators with congress and publication influence.</t>
  </si>
  <si>
    <t xml:space="preserve">Community Dermatologists</t>
  </si>
  <si>
    <t xml:space="preserve">High-volume community prescribers driving scale.</t>
  </si>
  <si>
    <t xml:space="preserve">Allergists / APP Extenders</t>
  </si>
  <si>
    <t xml:space="preserve">Adjacent prescribers and extenders affecting practical expansion.</t>
  </si>
  <si>
    <t xml:space="preserve">Payers / PBMs</t>
  </si>
  <si>
    <t xml:space="preserve">Formulary and step-edit stakeholders.</t>
  </si>
  <si>
    <t xml:space="preserve">Formal treatment-algorithm and society opinion structures.</t>
  </si>
  <si>
    <t xml:space="preserve">Crowded-class defense and counterpromotion.</t>
  </si>
  <si>
    <t xml:space="preserve">Academic Psychiatrists</t>
  </si>
  <si>
    <t xml:space="preserve">Academic voices validating differentiating evidence.</t>
  </si>
  <si>
    <t xml:space="preserve">Community Psychiatrists</t>
  </si>
  <si>
    <t xml:space="preserve">Core prescriber base for routine use.</t>
  </si>
  <si>
    <t xml:space="preserve">Primary Care / Behavioral Extenders</t>
  </si>
  <si>
    <t xml:space="preserve">PCPs, NPs, and CMHC stakeholders widening or constraining use.</t>
  </si>
  <si>
    <t xml:space="preserve">State Medicaid / Commercial Payers</t>
  </si>
  <si>
    <t xml:space="preserve">Access authorities with outsized utilization-management influence.</t>
  </si>
  <si>
    <t xml:space="preserve">Health Systems / CMHCs</t>
  </si>
  <si>
    <t xml:space="preserve">Delivery-system and community mental health infrastructure.</t>
  </si>
  <si>
    <t xml:space="preserve">Generic inertia and class defense.</t>
  </si>
  <si>
    <t xml:space="preserve">ID KOLs</t>
  </si>
  <si>
    <t xml:space="preserve">Academic infectious disease experts and publication leaders.</t>
  </si>
  <si>
    <t xml:space="preserve">Pulm / ID Community Treaters</t>
  </si>
  <si>
    <t xml:space="preserve">Treating specialists whose day-to-day decisions determine scale.</t>
  </si>
  <si>
    <t xml:space="preserve">Guideline committees and expert consensus groups.</t>
  </si>
  <si>
    <t xml:space="preserve">Reimbursement and utilization-management gatekeepers.</t>
  </si>
  <si>
    <t xml:space="preserve">Hospital Systems / Stewardship</t>
  </si>
  <si>
    <t xml:space="preserve">Integrated systems and stewardship programs affecting adoption.</t>
  </si>
  <si>
    <t xml:space="preserve">Incumbent regimens and conservative treatment norms resisting movement.</t>
  </si>
  <si>
    <t xml:space="preserve">How to use</t>
  </si>
  <si>
    <t xml:space="preserve">Select CaseHeader!B16. The six active actors in Actors, ActorReactionMatrix, ActorAggregation, and InterpretationLayer will switch to the actor set mapped to that specialty profile.</t>
  </si>
  <si>
    <t xml:space="preserve">Design rule</t>
  </si>
  <si>
    <t xml:space="preserve">The engine remains specialty-agnostic. Only actor composition, labels, roles, and base response assumptions change by specialty.</t>
  </si>
  <si>
    <t xml:space="preserve">CIOS V19 Actor Reaction Matrix</t>
  </si>
  <si>
    <t xml:space="preserve">Strength</t>
  </si>
  <si>
    <t xml:space="preserve">Reliability</t>
  </si>
  <si>
    <t xml:space="preserve">WeightedActorReaction</t>
  </si>
  <si>
    <t xml:space="preserve">AcademicMultiplier</t>
  </si>
  <si>
    <t xml:space="preserve">CommunityMultiplier</t>
  </si>
  <si>
    <t xml:space="preserve">PayerMultiplier</t>
  </si>
  <si>
    <t xml:space="preserve">GuidelineMultiplier</t>
  </si>
  <si>
    <t xml:space="preserve">HealthSystemMultiplier</t>
  </si>
  <si>
    <t xml:space="preserve">CompetitorMultiplier</t>
  </si>
  <si>
    <t xml:space="preserve">CIOS V19 Actor Aggregation</t>
  </si>
  <si>
    <t xml:space="preserve">NetActorEffect</t>
  </si>
  <si>
    <t xml:space="preserve">Top supportive actor</t>
  </si>
  <si>
    <t xml:space="preserve">Top constraining actor</t>
  </si>
  <si>
    <t xml:space="preserve">Net actor translation</t>
  </si>
  <si>
    <t xml:space="preserve">CIOS V18 Probability Engine</t>
  </si>
  <si>
    <t xml:space="preserve">Metric</t>
  </si>
  <si>
    <t xml:space="preserve">Logic</t>
  </si>
  <si>
    <t xml:space="preserve">Prior probability</t>
  </si>
  <si>
    <t xml:space="preserve">User-set baseline prior for the focal case.</t>
  </si>
  <si>
    <t xml:space="preserve">Prior odds</t>
  </si>
  <si>
    <t xml:space="preserve">Converts prior probability to odds.</t>
  </si>
  <si>
    <t xml:space="preserve">Signal LR product</t>
  </si>
  <si>
    <t xml:space="preserve">Multiplicative effect of validated likelihood ratios.</t>
  </si>
  <si>
    <t xml:space="preserve">Actor adjustment factor</t>
  </si>
  <si>
    <t xml:space="preserve">Behavioral translation from signals into actor-mediated effect.</t>
  </si>
  <si>
    <t xml:space="preserve">Posterior odds</t>
  </si>
  <si>
    <t xml:space="preserve">Core updated odds after signals and actor layer.</t>
  </si>
  <si>
    <t xml:space="preserve">Current probability</t>
  </si>
  <si>
    <t xml:space="preserve">Converted final probability.</t>
  </si>
  <si>
    <t xml:space="preserve">Confidence level</t>
  </si>
  <si>
    <t xml:space="preserve">Heuristic confidence based on evidence count and actor coherence.</t>
  </si>
  <si>
    <t xml:space="preserve">Sum of weighted actor effects.</t>
  </si>
  <si>
    <t xml:space="preserve">CIOS V19 Interpretation Layer</t>
  </si>
  <si>
    <t xml:space="preserve">InterpretationField</t>
  </si>
  <si>
    <t xml:space="preserve">Output</t>
  </si>
  <si>
    <t xml:space="preserve">Primary forecast statement</t>
  </si>
  <si>
    <t xml:space="preserve">Highest-impact signal</t>
  </si>
  <si>
    <t xml:space="preserve">Recommended action</t>
  </si>
  <si>
    <t xml:space="preserve">MIOS routing check</t>
  </si>
  <si>
    <t xml:space="preserve">OHOS routing check</t>
  </si>
  <si>
    <t xml:space="preserve">Behavioral summary</t>
  </si>
  <si>
    <t xml:space="preserve">Top actor rationale</t>
  </si>
  <si>
    <t xml:space="preserve">CIOS V18 Calibration Log</t>
  </si>
  <si>
    <t xml:space="preserve">ForecastID</t>
  </si>
  <si>
    <t xml:space="preserve">PredictionDate</t>
  </si>
  <si>
    <t xml:space="preserve">PredictedProbability</t>
  </si>
  <si>
    <t xml:space="preserve">ObservedOutcome</t>
  </si>
  <si>
    <t xml:space="preserve">BrierComponent</t>
  </si>
  <si>
    <t xml:space="preserve">FCAST-001</t>
  </si>
  <si>
    <t xml:space="preserve">Initial V18 forecast record.</t>
  </si>
  <si>
    <t xml:space="preserve">ImpactRank</t>
  </si>
  <si>
    <t xml:space="preserve">ScenarioID</t>
  </si>
  <si>
    <t xml:space="preserve">HypotheticalSignal</t>
  </si>
  <si>
    <t xml:space="preserve">NewProbability</t>
  </si>
  <si>
    <t xml:space="preserve">SCN-001</t>
  </si>
  <si>
    <t xml:space="preserve">Single positive high-strength signal</t>
  </si>
  <si>
    <t xml:space="preserve">Illustrative upside sensitivity</t>
  </si>
  <si>
    <t xml:space="preserve">SCN-002</t>
  </si>
  <si>
    <t xml:space="preserve">Single negative high-strength signal</t>
  </si>
  <si>
    <t xml:space="preserve">Illustrative downside sensitivity</t>
  </si>
  <si>
    <t xml:space="preserve">EventID</t>
  </si>
  <si>
    <t xml:space="preserve">EventName</t>
  </si>
  <si>
    <t xml:space="preserve">EventType</t>
  </si>
  <si>
    <t xml:space="preserve">ExpectedDate</t>
  </si>
  <si>
    <t xml:space="preserve">PotentialSignalDirection</t>
  </si>
  <si>
    <t xml:space="preserve">ImpactRange</t>
  </si>
  <si>
    <t xml:space="preserve">MonitoringStatus</t>
  </si>
  <si>
    <t xml:space="preserve">Source</t>
  </si>
  <si>
    <t xml:space="preserve">GuidanceID</t>
  </si>
  <si>
    <t xml:space="preserve">KeyRiskDriver</t>
  </si>
  <si>
    <t xml:space="preserve">RecommendedAction</t>
  </si>
  <si>
    <t xml:space="preserve">TargetAudience</t>
  </si>
  <si>
    <t xml:space="preserve">PriorityLevel</t>
  </si>
  <si>
    <t xml:space="preserve">LinkedSignalID</t>
  </si>
  <si>
    <t xml:space="preserve">GUID-001</t>
  </si>
  <si>
    <t xml:space="preserve">Leadership / field</t>
  </si>
  <si>
    <t xml:space="preserve">GUID-002</t>
  </si>
  <si>
    <t xml:space="preserve">Field strategy</t>
  </si>
  <si>
    <t xml:space="preserve">GUID-003</t>
  </si>
  <si>
    <t xml:space="preserve">Validated signals</t>
  </si>
  <si>
    <t xml:space="preserve">Medical strategy</t>
  </si>
  <si>
    <t xml:space="preserve">EventOutcome</t>
  </si>
  <si>
    <t xml:space="preserve">CalibrationScore</t>
  </si>
  <si>
    <t xml:space="preserve">Initial V18 forecast from actor-reaction engine</t>
  </si>
  <si>
    <t xml:space="preserve">Probability</t>
  </si>
  <si>
    <t xml:space="preserve">SignalChange</t>
  </si>
  <si>
    <t xml:space="preserve">V18 actor translation added</t>
  </si>
  <si>
    <t xml:space="preserve">Initial upgraded engine output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</si>
</sst>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mm/dd/yy"/>
    <numFmt numFmtId="167" formatCode="0.00"/>
  </numFmts>
  <fonts count="9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mbria"/>
      <family val="0"/>
    </font>
    <font>
      <b val="true"/>
      <sz val="11"/>
      <color theme="1"/>
      <name val="Cambria"/>
      <family val="0"/>
    </font>
    <font>
      <sz val="10"/>
      <name val="Arial"/>
      <family val="2"/>
    </font>
    <font>
      <b val="true"/>
      <sz val="14"/>
      <color theme="1"/>
      <name val="Cambria"/>
      <family val="0"/>
    </font>
    <font>
      <b val="true"/>
      <sz val="14"/>
      <color theme="1"/>
      <name val="Cambria"/>
      <family val="0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EE5FF"/>
        <bgColor rgb="FFEAF2FF"/>
      </patternFill>
    </fill>
    <fill>
      <patternFill patternType="solid">
        <fgColor rgb="FFD9EAF7"/>
        <bgColor rgb="FFDDEBF7"/>
      </patternFill>
    </fill>
    <fill>
      <patternFill patternType="solid">
        <fgColor rgb="FFEAF2FF"/>
        <bgColor rgb="FFDDEBF7"/>
      </patternFill>
    </fill>
    <fill>
      <patternFill patternType="solid">
        <fgColor rgb="FFFCE4D6"/>
        <bgColor rgb="FFEEE5FF"/>
      </patternFill>
    </fill>
    <fill>
      <patternFill patternType="solid">
        <fgColor rgb="FFDDEBF7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CE4D6"/>
      <rgbColor rgb="FFD9EAF7"/>
      <rgbColor rgb="FF660066"/>
      <rgbColor rgb="FFFF8080"/>
      <rgbColor rgb="FF0066CC"/>
      <rgbColor rgb="FFEE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AF2F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2.v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0" min="1" style="1" width="22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9.5" hidden="false" customHeight="tru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customFormat="false" ht="19.5" hidden="false" customHeight="true" outlineLevel="0" collapsed="false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15</v>
      </c>
      <c r="G3" s="1" t="s">
        <v>25</v>
      </c>
      <c r="H3" s="1" t="s">
        <v>26</v>
      </c>
      <c r="I3" s="1" t="s">
        <v>18</v>
      </c>
      <c r="J3" s="1" t="s">
        <v>27</v>
      </c>
    </row>
    <row r="4" customFormat="false" ht="19.5" hidden="false" customHeight="true" outlineLevel="0" collapsed="false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15</v>
      </c>
      <c r="G4" s="1" t="s">
        <v>16</v>
      </c>
      <c r="H4" s="1" t="s">
        <v>33</v>
      </c>
      <c r="I4" s="1" t="s">
        <v>18</v>
      </c>
      <c r="J4" s="1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1" width="22"/>
  </cols>
  <sheetData>
    <row r="1" customFormat="false" ht="19.5" hidden="false" customHeight="true" outlineLevel="0" collapsed="false">
      <c r="A1" s="1" t="s">
        <v>35</v>
      </c>
      <c r="B1" s="1" t="s">
        <v>0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  <row r="2" customFormat="false" ht="19.5" hidden="false" customHeight="true" outlineLevel="0" collapsed="false">
      <c r="A2" s="1" t="s">
        <v>41</v>
      </c>
      <c r="B2" s="1" t="s">
        <v>42</v>
      </c>
      <c r="C2" s="1" t="s">
        <v>43</v>
      </c>
      <c r="D2" s="1" t="s">
        <v>44</v>
      </c>
      <c r="E2" s="1" t="n">
        <v>-0.03</v>
      </c>
      <c r="F2" s="1" t="s">
        <v>45</v>
      </c>
      <c r="G2" s="1" t="s">
        <v>40</v>
      </c>
    </row>
    <row r="3" customFormat="false" ht="19.5" hidden="false" customHeight="true" outlineLevel="0" collapsed="false">
      <c r="A3" s="2" t="s">
        <v>46</v>
      </c>
      <c r="B3" s="2" t="s">
        <v>47</v>
      </c>
      <c r="C3" s="2" t="s">
        <v>48</v>
      </c>
      <c r="D3" s="2" t="s">
        <v>49</v>
      </c>
      <c r="E3" s="1" t="n">
        <v>0.05</v>
      </c>
      <c r="F3" s="1" t="s">
        <v>50</v>
      </c>
      <c r="G3" s="1" t="s">
        <v>40</v>
      </c>
    </row>
    <row r="4" customFormat="false" ht="15" hidden="false" customHeight="true" outlineLevel="0" collapsed="false">
      <c r="A4" s="1" t="s">
        <v>51</v>
      </c>
      <c r="B4" s="1" t="s">
        <v>52</v>
      </c>
      <c r="C4" s="1" t="s">
        <v>53</v>
      </c>
      <c r="D4" s="1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0" min="1" style="1" width="22"/>
  </cols>
  <sheetData>
    <row r="1" customFormat="false" ht="19.5" hidden="false" customHeight="true" outlineLevel="0" collapsed="false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35</v>
      </c>
    </row>
    <row r="2" customFormat="false" ht="19.5" hidden="false" customHeight="true" outlineLevel="0" collapsed="false">
      <c r="A2" s="1" t="s">
        <v>64</v>
      </c>
      <c r="B2" s="1" t="n">
        <v>0.42</v>
      </c>
      <c r="C2" s="1" t="s">
        <v>65</v>
      </c>
      <c r="D2" s="1" t="s">
        <v>66</v>
      </c>
      <c r="E2" s="1" t="s">
        <v>67</v>
      </c>
      <c r="F2" s="1" t="s">
        <v>21</v>
      </c>
      <c r="G2" s="1" t="s">
        <v>68</v>
      </c>
      <c r="H2" s="1" t="s">
        <v>69</v>
      </c>
      <c r="I2" s="1" t="s">
        <v>70</v>
      </c>
      <c r="J2" s="1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19"/>
    <col collapsed="false" customWidth="true" hidden="false" outlineLevel="0" max="10" min="10" style="1" width="21"/>
    <col collapsed="false" customWidth="true" hidden="false" outlineLevel="0" max="12" min="11" style="1" width="34"/>
    <col collapsed="false" customWidth="true" hidden="false" outlineLevel="0" max="13" min="13" style="1" width="17"/>
    <col collapsed="false" customWidth="true" hidden="false" outlineLevel="0" max="14" min="14" style="1" width="21"/>
    <col collapsed="false" customWidth="true" hidden="false" outlineLevel="0" max="15" min="15" style="1" width="12"/>
    <col collapsed="false" customWidth="true" hidden="false" outlineLevel="0" max="16" min="16" style="1" width="17"/>
    <col collapsed="false" customWidth="true" hidden="false" outlineLevel="0" max="17" min="17" style="1" width="19"/>
    <col collapsed="false" customWidth="true" hidden="false" outlineLevel="0" max="18" min="18" style="1" width="23"/>
    <col collapsed="false" customWidth="true" hidden="false" outlineLevel="0" max="19" min="19" style="1" width="21"/>
    <col collapsed="false" customWidth="true" hidden="false" outlineLevel="0" max="20" min="20" style="1" width="22"/>
    <col collapsed="false" customWidth="true" hidden="false" outlineLevel="0" max="21" min="21" style="1" width="18"/>
    <col collapsed="false" customWidth="true" hidden="false" outlineLevel="0" max="22" min="22" style="1" width="21"/>
    <col collapsed="false" customWidth="true" hidden="false" outlineLevel="0" max="23" min="23" style="1" width="16"/>
    <col collapsed="false" customWidth="true" hidden="false" outlineLevel="0" max="24" min="24" style="1" width="31"/>
    <col collapsed="false" customWidth="true" hidden="false" outlineLevel="0" max="25" min="25" style="1" width="21"/>
    <col collapsed="false" customWidth="true" hidden="false" outlineLevel="0" max="26" min="26" style="1" width="23"/>
    <col collapsed="false" customWidth="true" hidden="false" outlineLevel="0" max="27" min="27" style="1" width="19"/>
    <col collapsed="false" customWidth="true" hidden="false" outlineLevel="0" max="28" min="28" style="1" width="33"/>
  </cols>
  <sheetData>
    <row r="1" customFormat="false" ht="19.5" hidden="false" customHeight="true" outlineLevel="0" collapsed="false">
      <c r="A1" s="2" t="s">
        <v>72</v>
      </c>
      <c r="B1" s="2" t="s">
        <v>35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83</v>
      </c>
      <c r="N1" s="2" t="s">
        <v>84</v>
      </c>
      <c r="O1" s="2" t="s">
        <v>85</v>
      </c>
      <c r="P1" s="2" t="s">
        <v>86</v>
      </c>
      <c r="Q1" s="2" t="s">
        <v>87</v>
      </c>
      <c r="R1" s="2" t="s">
        <v>88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93</v>
      </c>
      <c r="X1" s="2" t="s">
        <v>94</v>
      </c>
      <c r="Y1" s="2" t="s">
        <v>95</v>
      </c>
      <c r="Z1" s="2" t="s">
        <v>96</v>
      </c>
      <c r="AA1" s="2" t="s">
        <v>97</v>
      </c>
      <c r="AB1" s="2" t="s">
        <v>9</v>
      </c>
    </row>
    <row r="2" customFormat="false" ht="19.5" hidden="false" customHeight="true" outlineLevel="0" collapsed="false">
      <c r="A2" s="1" t="s">
        <v>98</v>
      </c>
      <c r="B2" s="1" t="s">
        <v>99</v>
      </c>
      <c r="C2" s="1" t="s">
        <v>100</v>
      </c>
      <c r="D2" s="1" t="s">
        <v>101</v>
      </c>
      <c r="E2" s="1" t="s">
        <v>102</v>
      </c>
      <c r="F2" s="1" t="s">
        <v>103</v>
      </c>
      <c r="G2" s="1" t="s">
        <v>104</v>
      </c>
      <c r="H2" s="1" t="s">
        <v>105</v>
      </c>
      <c r="I2" s="1" t="s">
        <v>106</v>
      </c>
      <c r="J2" s="1" t="s">
        <v>107</v>
      </c>
      <c r="K2" s="1" t="s">
        <v>108</v>
      </c>
      <c r="L2" s="1" t="s">
        <v>109</v>
      </c>
      <c r="M2" s="1" t="n">
        <v>4</v>
      </c>
      <c r="N2" s="1" t="n">
        <v>5</v>
      </c>
      <c r="O2" s="1" t="n">
        <v>1</v>
      </c>
      <c r="P2" s="1" t="n">
        <v>1</v>
      </c>
      <c r="Q2" s="1" t="n">
        <v>5</v>
      </c>
      <c r="R2" s="1" t="n">
        <v>4</v>
      </c>
      <c r="S2" s="1" t="n">
        <v>3</v>
      </c>
      <c r="T2" s="1" t="n">
        <v>5</v>
      </c>
      <c r="U2" s="3" t="n">
        <f aca="false">SUM(Q2:T2)</f>
        <v>17</v>
      </c>
      <c r="V2" s="1" t="s">
        <v>44</v>
      </c>
      <c r="W2" s="1" t="s">
        <v>110</v>
      </c>
      <c r="X2" s="1" t="s">
        <v>111</v>
      </c>
      <c r="Y2" s="1" t="s">
        <v>16</v>
      </c>
      <c r="Z2" s="1" t="s">
        <v>16</v>
      </c>
      <c r="AA2" s="1" t="s">
        <v>112</v>
      </c>
      <c r="AB2" s="1" t="s">
        <v>113</v>
      </c>
    </row>
    <row r="3" customFormat="false" ht="19.5" hidden="false" customHeight="true" outlineLevel="0" collapsed="false">
      <c r="A3" s="1" t="s">
        <v>114</v>
      </c>
      <c r="B3" s="1" t="s">
        <v>99</v>
      </c>
      <c r="C3" s="1" t="s">
        <v>100</v>
      </c>
      <c r="D3" s="1" t="s">
        <v>101</v>
      </c>
      <c r="E3" s="1" t="s">
        <v>115</v>
      </c>
      <c r="F3" s="1" t="s">
        <v>116</v>
      </c>
      <c r="G3" s="1" t="s">
        <v>117</v>
      </c>
      <c r="H3" s="1" t="s">
        <v>118</v>
      </c>
      <c r="I3" s="1" t="s">
        <v>119</v>
      </c>
      <c r="J3" s="1" t="s">
        <v>120</v>
      </c>
      <c r="K3" s="1" t="s">
        <v>121</v>
      </c>
      <c r="L3" s="1" t="s">
        <v>122</v>
      </c>
      <c r="M3" s="1" t="n">
        <v>2</v>
      </c>
      <c r="N3" s="1" t="n">
        <v>3</v>
      </c>
      <c r="O3" s="1" t="n">
        <v>1</v>
      </c>
      <c r="P3" s="1" t="n">
        <v>4</v>
      </c>
      <c r="Q3" s="1" t="n">
        <v>3</v>
      </c>
      <c r="R3" s="1" t="n">
        <v>3</v>
      </c>
      <c r="S3" s="1" t="n">
        <v>2</v>
      </c>
      <c r="T3" s="1" t="n">
        <v>4</v>
      </c>
      <c r="U3" s="3" t="n">
        <f aca="false">SUM(Q3:T3)</f>
        <v>12</v>
      </c>
      <c r="V3" s="1" t="s">
        <v>44</v>
      </c>
      <c r="W3" s="1" t="s">
        <v>123</v>
      </c>
      <c r="X3" s="1" t="s">
        <v>124</v>
      </c>
      <c r="Y3" s="1" t="s">
        <v>25</v>
      </c>
      <c r="Z3" s="1" t="s">
        <v>16</v>
      </c>
      <c r="AA3" s="1" t="s">
        <v>112</v>
      </c>
      <c r="AB3" s="1" t="s">
        <v>125</v>
      </c>
    </row>
    <row r="4" customFormat="false" ht="19.5" hidden="false" customHeight="true" outlineLevel="0" collapsed="false">
      <c r="A4" s="1" t="s">
        <v>126</v>
      </c>
      <c r="B4" s="1" t="s">
        <v>99</v>
      </c>
      <c r="C4" s="1" t="s">
        <v>100</v>
      </c>
      <c r="D4" s="1" t="s">
        <v>101</v>
      </c>
      <c r="E4" s="1" t="s">
        <v>102</v>
      </c>
      <c r="F4" s="1" t="s">
        <v>127</v>
      </c>
      <c r="G4" s="1" t="s">
        <v>128</v>
      </c>
      <c r="H4" s="1" t="s">
        <v>118</v>
      </c>
      <c r="I4" s="1" t="s">
        <v>129</v>
      </c>
      <c r="J4" s="1" t="s">
        <v>130</v>
      </c>
      <c r="K4" s="1" t="s">
        <v>131</v>
      </c>
      <c r="L4" s="1" t="s">
        <v>132</v>
      </c>
      <c r="M4" s="1" t="n">
        <v>3</v>
      </c>
      <c r="N4" s="1" t="n">
        <v>4</v>
      </c>
      <c r="O4" s="1" t="n">
        <v>4</v>
      </c>
      <c r="P4" s="1" t="n">
        <v>1</v>
      </c>
      <c r="Q4" s="1" t="n">
        <v>4</v>
      </c>
      <c r="R4" s="1" t="n">
        <v>3</v>
      </c>
      <c r="S4" s="1" t="n">
        <v>4</v>
      </c>
      <c r="T4" s="1" t="n">
        <v>4</v>
      </c>
      <c r="U4" s="3" t="n">
        <f aca="false">SUM(Q4:T4)</f>
        <v>15</v>
      </c>
      <c r="V4" s="1" t="s">
        <v>44</v>
      </c>
      <c r="W4" s="1" t="s">
        <v>133</v>
      </c>
      <c r="X4" s="1" t="s">
        <v>134</v>
      </c>
      <c r="Y4" s="1" t="s">
        <v>16</v>
      </c>
      <c r="Z4" s="1" t="s">
        <v>25</v>
      </c>
      <c r="AA4" s="1" t="s">
        <v>112</v>
      </c>
      <c r="AB4" s="1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14"/>
    <col collapsed="false" customWidth="true" hidden="false" outlineLevel="0" max="5" min="5" style="1" width="21"/>
    <col collapsed="false" customWidth="true" hidden="false" outlineLevel="0" max="6" min="6" style="1" width="31"/>
    <col collapsed="false" customWidth="true" hidden="false" outlineLevel="0" max="8" min="7" style="1" width="34"/>
    <col collapsed="false" customWidth="true" hidden="false" outlineLevel="0" max="9" min="9" style="1" width="25"/>
    <col collapsed="false" customWidth="true" hidden="false" outlineLevel="0" max="11" min="10" style="1" width="34"/>
    <col collapsed="false" customWidth="true" hidden="false" outlineLevel="0" max="13" min="12" style="1" width="14"/>
  </cols>
  <sheetData>
    <row r="1" customFormat="false" ht="19.5" hidden="false" customHeight="true" outlineLevel="0" collapsed="false">
      <c r="A1" s="2" t="s">
        <v>136</v>
      </c>
      <c r="B1" s="2" t="s">
        <v>74</v>
      </c>
      <c r="C1" s="2" t="s">
        <v>75</v>
      </c>
      <c r="D1" s="2" t="s">
        <v>76</v>
      </c>
      <c r="E1" s="2" t="s">
        <v>137</v>
      </c>
      <c r="F1" s="2" t="s">
        <v>138</v>
      </c>
      <c r="G1" s="2" t="s">
        <v>139</v>
      </c>
      <c r="H1" s="2" t="s">
        <v>140</v>
      </c>
      <c r="I1" s="2" t="s">
        <v>141</v>
      </c>
      <c r="J1" s="2" t="s">
        <v>142</v>
      </c>
      <c r="K1" s="2" t="s">
        <v>143</v>
      </c>
      <c r="L1" s="2" t="s">
        <v>144</v>
      </c>
      <c r="M1" s="2" t="s">
        <v>145</v>
      </c>
    </row>
    <row r="2" customFormat="false" ht="19.5" hidden="false" customHeight="true" outlineLevel="0" collapsed="false">
      <c r="A2" s="1" t="s">
        <v>146</v>
      </c>
      <c r="B2" s="1" t="s">
        <v>101</v>
      </c>
      <c r="C2" s="1" t="s">
        <v>102</v>
      </c>
      <c r="D2" s="1" t="s">
        <v>127</v>
      </c>
      <c r="E2" s="1" t="s">
        <v>147</v>
      </c>
      <c r="F2" s="1" t="s">
        <v>148</v>
      </c>
      <c r="G2" s="1" t="s">
        <v>149</v>
      </c>
      <c r="H2" s="1" t="s">
        <v>150</v>
      </c>
      <c r="I2" s="1" t="s">
        <v>151</v>
      </c>
      <c r="J2" s="1" t="s">
        <v>152</v>
      </c>
      <c r="K2" s="1" t="s">
        <v>153</v>
      </c>
      <c r="L2" s="1" t="s">
        <v>154</v>
      </c>
      <c r="M2" s="1" t="n">
        <v>1</v>
      </c>
    </row>
    <row r="3" customFormat="false" ht="19.5" hidden="false" customHeight="true" outlineLevel="0" collapsed="false">
      <c r="A3" s="1" t="s">
        <v>155</v>
      </c>
      <c r="B3" s="1" t="s">
        <v>101</v>
      </c>
      <c r="C3" s="1" t="s">
        <v>102</v>
      </c>
      <c r="D3" s="1" t="s">
        <v>103</v>
      </c>
      <c r="E3" s="1" t="s">
        <v>156</v>
      </c>
      <c r="F3" s="1" t="s">
        <v>157</v>
      </c>
      <c r="G3" s="1" t="s">
        <v>158</v>
      </c>
      <c r="H3" s="1" t="s">
        <v>159</v>
      </c>
      <c r="I3" s="1" t="s">
        <v>160</v>
      </c>
      <c r="J3" s="1" t="s">
        <v>161</v>
      </c>
      <c r="K3" s="1" t="s">
        <v>162</v>
      </c>
      <c r="L3" s="1" t="s">
        <v>163</v>
      </c>
      <c r="M3" s="1" t="n">
        <v>2</v>
      </c>
    </row>
    <row r="4" customFormat="false" ht="19.5" hidden="false" customHeight="true" outlineLevel="0" collapsed="false">
      <c r="A4" s="1" t="s">
        <v>164</v>
      </c>
      <c r="B4" s="1" t="s">
        <v>101</v>
      </c>
      <c r="C4" s="1" t="s">
        <v>115</v>
      </c>
      <c r="D4" s="1" t="s">
        <v>116</v>
      </c>
      <c r="E4" s="1" t="s">
        <v>165</v>
      </c>
      <c r="F4" s="1" t="s">
        <v>166</v>
      </c>
      <c r="G4" s="1" t="s">
        <v>167</v>
      </c>
      <c r="H4" s="1" t="s">
        <v>168</v>
      </c>
      <c r="I4" s="1" t="s">
        <v>169</v>
      </c>
      <c r="J4" s="1" t="s">
        <v>170</v>
      </c>
      <c r="K4" s="1" t="s">
        <v>171</v>
      </c>
      <c r="L4" s="1" t="s">
        <v>163</v>
      </c>
      <c r="M4" s="1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9"/>
    <col collapsed="false" customWidth="true" hidden="false" outlineLevel="0" max="10" min="3" style="1" width="34"/>
  </cols>
  <sheetData>
    <row r="1" customFormat="false" ht="19.5" hidden="false" customHeight="true" outlineLevel="0" collapsed="false">
      <c r="A1" s="4" t="s">
        <v>172</v>
      </c>
    </row>
    <row r="2" customFormat="false" ht="19.5" hidden="false" customHeight="true" outlineLevel="0" collapsed="false"/>
    <row r="3" customFormat="false" ht="19.5" hidden="false" customHeight="true" outlineLevel="0" collapsed="false">
      <c r="A3" s="2" t="s">
        <v>72</v>
      </c>
      <c r="B3" s="2" t="s">
        <v>91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173</v>
      </c>
      <c r="H3" s="2" t="s">
        <v>174</v>
      </c>
      <c r="I3" s="2" t="s">
        <v>175</v>
      </c>
      <c r="J3" s="2" t="s">
        <v>176</v>
      </c>
    </row>
    <row r="4" customFormat="false" ht="19.5" hidden="false" customHeight="true" outlineLevel="0" collapsed="false">
      <c r="A4" s="1" t="str">
        <f aca="false">FieldIntelligenceInbox!A2</f>
        <v>FB-001</v>
      </c>
      <c r="B4" s="1" t="n">
        <f aca="false">FieldIntelligenceInbox!U2</f>
        <v>17</v>
      </c>
      <c r="C4" s="1" t="str">
        <f aca="false">IF(B4="","",FieldIntelligenceInbox!W2)</f>
        <v>CIOS→MIOS+OHOS</v>
      </c>
      <c r="D4" s="1" t="str">
        <f aca="false">IF(B4="","",FieldIntelligenceInbox!X2)</f>
        <v>Pulmonology / community</v>
      </c>
      <c r="E4" s="1" t="str">
        <f aca="false">IF(B4="","",FieldIntelligenceInbox!Y2)</f>
        <v>High</v>
      </c>
      <c r="F4" s="1" t="str">
        <f aca="false">IF(B4="","",FieldIntelligenceInbox!Z2)</f>
        <v>High</v>
      </c>
      <c r="G4" s="1" t="str">
        <f aca="false">IF(B4="","",IF(B4&gt;=16,"Urgent",IF(B4&gt;=12,"High","Standard")))</f>
        <v>Urgent</v>
      </c>
      <c r="H4" s="1" t="str">
        <f aca="false">IF(B4="","",IF(C4="CIOS→MIOS+OHOS","Brand Strategy + Medical + Training",IF(C4="CIOS→MIOS","Medical Strategy",IF(C4="CIOS→OHOS","Field Strategy / Training","CIOS Review"))))</f>
        <v>Brand Strategy + Medical + Training</v>
      </c>
      <c r="I4" s="1" t="str">
        <f aca="false">IF(B4="","",IF(C4="CIOS→MIOS+OHOS","Update core message + objection module + segment guidance",IF(C4="CIOS→MIOS","Update message architecture + segment narrative",IF(C4="CIOS→OHOS","Update objection ladder + response card","Review"))))</f>
        <v>Update core message + objection module + segment guidance</v>
      </c>
      <c r="J4" s="1" t="str">
        <f aca="false">IF(B4="","",IF(LEFT(D4,11)="Pulmonology","Sales + MSL","MSL-led"))</f>
        <v>Sales + MSL</v>
      </c>
    </row>
    <row r="5" customFormat="false" ht="19.5" hidden="false" customHeight="true" outlineLevel="0" collapsed="false">
      <c r="A5" s="1" t="str">
        <f aca="false">FieldIntelligenceInbox!A3</f>
        <v>FB-002</v>
      </c>
      <c r="B5" s="1" t="n">
        <f aca="false">FieldIntelligenceInbox!U3</f>
        <v>12</v>
      </c>
      <c r="C5" s="1" t="str">
        <f aca="false">IF(B5="","",FieldIntelligenceInbox!W3)</f>
        <v>CIOS→OHOS</v>
      </c>
      <c r="D5" s="1" t="str">
        <f aca="false">IF(B5="","",FieldIntelligenceInbox!X3)</f>
        <v>Infectious Disease / academic</v>
      </c>
      <c r="E5" s="1" t="str">
        <f aca="false">IF(B5="","",FieldIntelligenceInbox!Y3)</f>
        <v>Medium</v>
      </c>
      <c r="F5" s="1" t="str">
        <f aca="false">IF(B5="","",FieldIntelligenceInbox!Z3)</f>
        <v>High</v>
      </c>
      <c r="G5" s="1" t="str">
        <f aca="false">IF(B5="","",IF(B5&gt;=16,"Urgent",IF(B5&gt;=12,"High","Standard")))</f>
        <v>High</v>
      </c>
      <c r="H5" s="1" t="str">
        <f aca="false">IF(B5="","",IF(C5="CIOS→MIOS+OHOS","Brand Strategy + Medical + Training",IF(C5="CIOS→MIOS","Medical Strategy",IF(C5="CIOS→OHOS","Field Strategy / Training","CIOS Review"))))</f>
        <v>Field Strategy / Training</v>
      </c>
      <c r="I5" s="1" t="str">
        <f aca="false">IF(B5="","",IF(C5="CIOS→MIOS+OHOS","Update core message + objection module + segment guidance",IF(C5="CIOS→MIOS","Update message architecture + segment narrative",IF(C5="CIOS→OHOS","Update objection ladder + response card","Review"))))</f>
        <v>Update objection ladder + response card</v>
      </c>
      <c r="J5" s="1" t="str">
        <f aca="false">IF(B5="","",IF(LEFT(D5,11)="Pulmonology","Sales + MSL","MSL-led"))</f>
        <v>MSL-led</v>
      </c>
    </row>
    <row r="6" customFormat="false" ht="19.5" hidden="false" customHeight="true" outlineLevel="0" collapsed="false">
      <c r="A6" s="1" t="str">
        <f aca="false">FieldIntelligenceInbox!A4</f>
        <v>FB-003</v>
      </c>
      <c r="B6" s="1" t="n">
        <f aca="false">FieldIntelligenceInbox!U4</f>
        <v>15</v>
      </c>
      <c r="C6" s="1" t="str">
        <f aca="false">IF(B6="","",FieldIntelligenceInbox!W4)</f>
        <v>CIOS→MIOS</v>
      </c>
      <c r="D6" s="1" t="str">
        <f aca="false">IF(B6="","",FieldIntelligenceInbox!X4)</f>
        <v>Pulmonology / general</v>
      </c>
      <c r="E6" s="1" t="str">
        <f aca="false">IF(B6="","",FieldIntelligenceInbox!Y4)</f>
        <v>High</v>
      </c>
      <c r="F6" s="1" t="str">
        <f aca="false">IF(B6="","",FieldIntelligenceInbox!Z4)</f>
        <v>Medium</v>
      </c>
      <c r="G6" s="1" t="str">
        <f aca="false">IF(B6="","",IF(B6&gt;=16,"Urgent",IF(B6&gt;=12,"High","Standard")))</f>
        <v>High</v>
      </c>
      <c r="H6" s="1" t="str">
        <f aca="false">IF(B6="","",IF(C6="CIOS→MIOS+OHOS","Brand Strategy + Medical + Training",IF(C6="CIOS→MIOS","Medical Strategy",IF(C6="CIOS→OHOS","Field Strategy / Training","CIOS Review"))))</f>
        <v>Medical Strategy</v>
      </c>
      <c r="I6" s="1" t="str">
        <f aca="false">IF(B6="","",IF(C6="CIOS→MIOS+OHOS","Update core message + objection module + segment guidance",IF(C6="CIOS→MIOS","Update message architecture + segment narrative",IF(C6="CIOS→OHOS","Update objection ladder + response card","Review"))))</f>
        <v>Update message architecture + segment narrative</v>
      </c>
      <c r="J6" s="1" t="str">
        <f aca="false">IF(B6="","",IF(LEFT(D6,11)="Pulmonology","Sales + MSL","MSL-led"))</f>
        <v>Sales + MSL</v>
      </c>
    </row>
    <row r="7" customFormat="false" ht="19.5" hidden="false" customHeight="true" outlineLevel="0" collapsed="false">
      <c r="A7" s="1" t="n">
        <f aca="false">FieldIntelligenceInbox!A5</f>
        <v>0</v>
      </c>
      <c r="B7" s="1" t="n">
        <f aca="false">FieldIntelligenceInbox!U5</f>
        <v>0</v>
      </c>
      <c r="C7" s="1" t="str">
        <f aca="false">IF(B7="","",FieldIntelligenceInbox!W5)</f>
        <v/>
      </c>
      <c r="D7" s="1" t="str">
        <f aca="false">IF(B7="","",FieldIntelligenceInbox!X5)</f>
        <v/>
      </c>
      <c r="E7" s="1" t="str">
        <f aca="false">IF(B7="","",FieldIntelligenceInbox!Y5)</f>
        <v/>
      </c>
      <c r="F7" s="1" t="str">
        <f aca="false">IF(B7="","",FieldIntelligenceInbox!Z5)</f>
        <v/>
      </c>
      <c r="G7" s="1" t="str">
        <f aca="false">IF(B7="","",IF(B7&gt;=16,"Urgent",IF(B7&gt;=12,"High","Standard")))</f>
        <v/>
      </c>
      <c r="H7" s="1" t="str">
        <f aca="false">IF(B7="","",IF(C7="CIOS→MIOS+OHOS","Brand Strategy + Medical + Training",IF(C7="CIOS→MIOS","Medical Strategy",IF(C7="CIOS→OHOS","Field Strategy / Training","CIOS Review"))))</f>
        <v/>
      </c>
      <c r="I7" s="1" t="str">
        <f aca="false">IF(B7="","",IF(C7="CIOS→MIOS+OHOS","Update core message + objection module + segment guidance",IF(C7="CIOS→MIOS","Update message architecture + segment narrative",IF(C7="CIOS→OHOS","Update objection ladder + response card","Review"))))</f>
        <v/>
      </c>
      <c r="J7" s="1" t="str">
        <f aca="false">IF(B7="","",IF(LEFT(D7,11)="Pulmonology","Sales + MSL","MSL-led"))</f>
        <v/>
      </c>
    </row>
    <row r="8" customFormat="false" ht="19.5" hidden="false" customHeight="true" outlineLevel="0" collapsed="false">
      <c r="A8" s="1" t="n">
        <f aca="false">FieldIntelligenceInbox!A6</f>
        <v>0</v>
      </c>
      <c r="B8" s="1" t="n">
        <f aca="false">FieldIntelligenceInbox!U6</f>
        <v>0</v>
      </c>
      <c r="C8" s="1" t="str">
        <f aca="false">IF(B8="","",FieldIntelligenceInbox!W6)</f>
        <v/>
      </c>
      <c r="D8" s="1" t="str">
        <f aca="false">IF(B8="","",FieldIntelligenceInbox!X6)</f>
        <v/>
      </c>
      <c r="E8" s="1" t="str">
        <f aca="false">IF(B8="","",FieldIntelligenceInbox!Y6)</f>
        <v/>
      </c>
      <c r="F8" s="1" t="str">
        <f aca="false">IF(B8="","",FieldIntelligenceInbox!Z6)</f>
        <v/>
      </c>
      <c r="G8" s="1" t="str">
        <f aca="false">IF(B8="","",IF(B8&gt;=16,"Urgent",IF(B8&gt;=12,"High","Standard")))</f>
        <v/>
      </c>
      <c r="H8" s="1" t="str">
        <f aca="false">IF(B8="","",IF(C8="CIOS→MIOS+OHOS","Brand Strategy + Medical + Training",IF(C8="CIOS→MIOS","Medical Strategy",IF(C8="CIOS→OHOS","Field Strategy / Training","CIOS Review"))))</f>
        <v/>
      </c>
      <c r="I8" s="1" t="str">
        <f aca="false">IF(B8="","",IF(C8="CIOS→MIOS+OHOS","Update core message + objection module + segment guidance",IF(C8="CIOS→MIOS","Update message architecture + segment narrative",IF(C8="CIOS→OHOS","Update objection ladder + response card","Review"))))</f>
        <v/>
      </c>
      <c r="J8" s="1" t="str">
        <f aca="false">IF(B8="","",IF(LEFT(D8,11)="Pulmonology","Sales + MSL","MSL-led"))</f>
        <v/>
      </c>
    </row>
    <row r="9" customFormat="false" ht="19.5" hidden="false" customHeight="true" outlineLevel="0" collapsed="false">
      <c r="A9" s="1" t="n">
        <f aca="false">FieldIntelligenceInbox!A7</f>
        <v>0</v>
      </c>
      <c r="B9" s="1" t="n">
        <f aca="false">FieldIntelligenceInbox!U7</f>
        <v>0</v>
      </c>
      <c r="C9" s="1" t="str">
        <f aca="false">IF(B9="","",FieldIntelligenceInbox!W7)</f>
        <v/>
      </c>
      <c r="D9" s="1" t="str">
        <f aca="false">IF(B9="","",FieldIntelligenceInbox!X7)</f>
        <v/>
      </c>
      <c r="E9" s="1" t="str">
        <f aca="false">IF(B9="","",FieldIntelligenceInbox!Y7)</f>
        <v/>
      </c>
      <c r="F9" s="1" t="str">
        <f aca="false">IF(B9="","",FieldIntelligenceInbox!Z7)</f>
        <v/>
      </c>
      <c r="G9" s="1" t="str">
        <f aca="false">IF(B9="","",IF(B9&gt;=16,"Urgent",IF(B9&gt;=12,"High","Standard")))</f>
        <v/>
      </c>
      <c r="H9" s="1" t="str">
        <f aca="false">IF(B9="","",IF(C9="CIOS→MIOS+OHOS","Brand Strategy + Medical + Training",IF(C9="CIOS→MIOS","Medical Strategy",IF(C9="CIOS→OHOS","Field Strategy / Training","CIOS Review"))))</f>
        <v/>
      </c>
      <c r="I9" s="1" t="str">
        <f aca="false">IF(B9="","",IF(C9="CIOS→MIOS+OHOS","Update core message + objection module + segment guidance",IF(C9="CIOS→MIOS","Update message architecture + segment narrative",IF(C9="CIOS→OHOS","Update objection ladder + response card","Review"))))</f>
        <v/>
      </c>
      <c r="J9" s="1" t="str">
        <f aca="false">IF(B9="","",IF(LEFT(D9,11)="Pulmonology","Sales + MSL","MSL-led"))</f>
        <v/>
      </c>
    </row>
    <row r="10" customFormat="false" ht="19.5" hidden="false" customHeight="true" outlineLevel="0" collapsed="false">
      <c r="A10" s="1" t="n">
        <f aca="false">FieldIntelligenceInbox!A8</f>
        <v>0</v>
      </c>
      <c r="B10" s="1" t="n">
        <f aca="false">FieldIntelligenceInbox!U8</f>
        <v>0</v>
      </c>
      <c r="C10" s="1" t="str">
        <f aca="false">IF(B10="","",FieldIntelligenceInbox!W8)</f>
        <v/>
      </c>
      <c r="D10" s="1" t="str">
        <f aca="false">IF(B10="","",FieldIntelligenceInbox!X8)</f>
        <v/>
      </c>
      <c r="E10" s="1" t="str">
        <f aca="false">IF(B10="","",FieldIntelligenceInbox!Y8)</f>
        <v/>
      </c>
      <c r="F10" s="1" t="str">
        <f aca="false">IF(B10="","",FieldIntelligenceInbox!Z8)</f>
        <v/>
      </c>
      <c r="G10" s="1" t="str">
        <f aca="false">IF(B10="","",IF(B10&gt;=16,"Urgent",IF(B10&gt;=12,"High","Standard")))</f>
        <v/>
      </c>
      <c r="H10" s="1" t="str">
        <f aca="false">IF(B10="","",IF(C10="CIOS→MIOS+OHOS","Brand Strategy + Medical + Training",IF(C10="CIOS→MIOS","Medical Strategy",IF(C10="CIOS→OHOS","Field Strategy / Training","CIOS Review"))))</f>
        <v/>
      </c>
      <c r="I10" s="1" t="str">
        <f aca="false">IF(B10="","",IF(C10="CIOS→MIOS+OHOS","Update core message + objection module + segment guidance",IF(C10="CIOS→MIOS","Update message architecture + segment narrative",IF(C10="CIOS→OHOS","Update objection ladder + response card","Review"))))</f>
        <v/>
      </c>
      <c r="J10" s="1" t="str">
        <f aca="false">IF(B10="","",IF(LEFT(D10,11)="Pulmonology","Sales + MSL","MSL-led"))</f>
        <v/>
      </c>
    </row>
    <row r="11" customFormat="false" ht="19.5" hidden="false" customHeight="true" outlineLevel="0" collapsed="false">
      <c r="A11" s="1" t="n">
        <f aca="false">FieldIntelligenceInbox!A9</f>
        <v>0</v>
      </c>
      <c r="B11" s="1" t="n">
        <f aca="false">FieldIntelligenceInbox!U9</f>
        <v>0</v>
      </c>
      <c r="C11" s="1" t="str">
        <f aca="false">IF(B11="","",FieldIntelligenceInbox!W9)</f>
        <v/>
      </c>
      <c r="D11" s="1" t="str">
        <f aca="false">IF(B11="","",FieldIntelligenceInbox!X9)</f>
        <v/>
      </c>
      <c r="E11" s="1" t="str">
        <f aca="false">IF(B11="","",FieldIntelligenceInbox!Y9)</f>
        <v/>
      </c>
      <c r="F11" s="1" t="str">
        <f aca="false">IF(B11="","",FieldIntelligenceInbox!Z9)</f>
        <v/>
      </c>
      <c r="G11" s="1" t="str">
        <f aca="false">IF(B11="","",IF(B11&gt;=16,"Urgent",IF(B11&gt;=12,"High","Standard")))</f>
        <v/>
      </c>
      <c r="H11" s="1" t="str">
        <f aca="false">IF(B11="","",IF(C11="CIOS→MIOS+OHOS","Brand Strategy + Medical + Training",IF(C11="CIOS→MIOS","Medical Strategy",IF(C11="CIOS→OHOS","Field Strategy / Training","CIOS Review"))))</f>
        <v/>
      </c>
      <c r="I11" s="1" t="str">
        <f aca="false">IF(B11="","",IF(C11="CIOS→MIOS+OHOS","Update core message + objection module + segment guidance",IF(C11="CIOS→MIOS","Update message architecture + segment narrative",IF(C11="CIOS→OHOS","Update objection ladder + response card","Review"))))</f>
        <v/>
      </c>
      <c r="J11" s="1" t="str">
        <f aca="false">IF(B11="","",IF(LEFT(D11,11)="Pulmonology","Sales + MSL","MSL-led"))</f>
        <v/>
      </c>
    </row>
    <row r="12" customFormat="false" ht="19.5" hidden="false" customHeight="true" outlineLevel="0" collapsed="false">
      <c r="A12" s="1" t="n">
        <f aca="false">FieldIntelligenceInbox!A10</f>
        <v>0</v>
      </c>
      <c r="B12" s="1" t="n">
        <f aca="false">FieldIntelligenceInbox!U10</f>
        <v>0</v>
      </c>
      <c r="C12" s="1" t="str">
        <f aca="false">IF(B12="","",FieldIntelligenceInbox!W10)</f>
        <v/>
      </c>
      <c r="D12" s="1" t="str">
        <f aca="false">IF(B12="","",FieldIntelligenceInbox!X10)</f>
        <v/>
      </c>
      <c r="E12" s="1" t="str">
        <f aca="false">IF(B12="","",FieldIntelligenceInbox!Y10)</f>
        <v/>
      </c>
      <c r="F12" s="1" t="str">
        <f aca="false">IF(B12="","",FieldIntelligenceInbox!Z10)</f>
        <v/>
      </c>
      <c r="G12" s="1" t="str">
        <f aca="false">IF(B12="","",IF(B12&gt;=16,"Urgent",IF(B12&gt;=12,"High","Standard")))</f>
        <v/>
      </c>
      <c r="H12" s="1" t="str">
        <f aca="false">IF(B12="","",IF(C12="CIOS→MIOS+OHOS","Brand Strategy + Medical + Training",IF(C12="CIOS→MIOS","Medical Strategy",IF(C12="CIOS→OHOS","Field Strategy / Training","CIOS Review"))))</f>
        <v/>
      </c>
      <c r="I12" s="1" t="str">
        <f aca="false">IF(B12="","",IF(C12="CIOS→MIOS+OHOS","Update core message + objection module + segment guidance",IF(C12="CIOS→MIOS","Update message architecture + segment narrative",IF(C12="CIOS→OHOS","Update objection ladder + response card","Review"))))</f>
        <v/>
      </c>
      <c r="J12" s="1" t="str">
        <f aca="false">IF(B12="","",IF(LEFT(D12,11)="Pulmonology","Sales + MSL","MSL-led"))</f>
        <v/>
      </c>
    </row>
    <row r="13" customFormat="false" ht="19.5" hidden="false" customHeight="true" outlineLevel="0" collapsed="false">
      <c r="A13" s="1" t="n">
        <f aca="false">FieldIntelligenceInbox!A11</f>
        <v>0</v>
      </c>
      <c r="B13" s="1" t="n">
        <f aca="false">FieldIntelligenceInbox!U11</f>
        <v>0</v>
      </c>
      <c r="C13" s="1" t="str">
        <f aca="false">IF(B13="","",FieldIntelligenceInbox!W11)</f>
        <v/>
      </c>
      <c r="D13" s="1" t="str">
        <f aca="false">IF(B13="","",FieldIntelligenceInbox!X11)</f>
        <v/>
      </c>
      <c r="E13" s="1" t="str">
        <f aca="false">IF(B13="","",FieldIntelligenceInbox!Y11)</f>
        <v/>
      </c>
      <c r="F13" s="1" t="str">
        <f aca="false">IF(B13="","",FieldIntelligenceInbox!Z11)</f>
        <v/>
      </c>
      <c r="G13" s="1" t="str">
        <f aca="false">IF(B13="","",IF(B13&gt;=16,"Urgent",IF(B13&gt;=12,"High","Standard")))</f>
        <v/>
      </c>
      <c r="H13" s="1" t="str">
        <f aca="false">IF(B13="","",IF(C13="CIOS→MIOS+OHOS","Brand Strategy + Medical + Training",IF(C13="CIOS→MIOS","Medical Strategy",IF(C13="CIOS→OHOS","Field Strategy / Training","CIOS Review"))))</f>
        <v/>
      </c>
      <c r="I13" s="1" t="str">
        <f aca="false">IF(B13="","",IF(C13="CIOS→MIOS+OHOS","Update core message + objection module + segment guidance",IF(C13="CIOS→MIOS","Update message architecture + segment narrative",IF(C13="CIOS→OHOS","Update objection ladder + response card","Review"))))</f>
        <v/>
      </c>
      <c r="J13" s="1" t="str">
        <f aca="false">IF(B13="","",IF(LEFT(D13,11)="Pulmonology","Sales + MSL","MSL-led"))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8"/>
    <col collapsed="false" customWidth="true" hidden="false" outlineLevel="0" max="3" min="3" style="1" width="2"/>
    <col collapsed="false" customWidth="true" hidden="false" outlineLevel="0" max="4" min="4" style="1" width="34"/>
  </cols>
  <sheetData>
    <row r="1" customFormat="false" ht="19.5" hidden="false" customHeight="true" outlineLevel="0" collapsed="false">
      <c r="A1" s="4" t="s">
        <v>177</v>
      </c>
    </row>
    <row r="2" customFormat="false" ht="19.5" hidden="false" customHeight="true" outlineLevel="0" collapsed="false"/>
    <row r="3" customFormat="false" ht="19.5" hidden="false" customHeight="true" outlineLevel="0" collapsed="false">
      <c r="A3" s="5" t="s">
        <v>178</v>
      </c>
      <c r="D3" s="4" t="s">
        <v>179</v>
      </c>
    </row>
    <row r="4" customFormat="false" ht="19.5" hidden="false" customHeight="true" outlineLevel="0" collapsed="false">
      <c r="A4" s="6" t="str">
        <f aca="false">FieldIntelligenceInbox!L2</f>
        <v>Pulmonologists are asking for a more direct connection between microbiology and fatigue / functioning.</v>
      </c>
      <c r="D4" s="1" t="s">
        <v>180</v>
      </c>
    </row>
    <row r="5" customFormat="false" ht="19.5" hidden="false" customHeight="true" outlineLevel="0" collapsed="false"/>
    <row r="6" customFormat="false" ht="19.5" hidden="false" customHeight="true" outlineLevel="0" collapsed="false">
      <c r="A6" s="1" t="s">
        <v>181</v>
      </c>
      <c r="B6" s="6" t="str">
        <f aca="false">FieldIntelligenceInbox!X2</f>
        <v>Pulmonology / community</v>
      </c>
      <c r="D6" s="4" t="s">
        <v>182</v>
      </c>
    </row>
    <row r="7" customFormat="false" ht="19.5" hidden="false" customHeight="true" outlineLevel="0" collapsed="false">
      <c r="A7" s="1" t="s">
        <v>183</v>
      </c>
      <c r="B7" s="6" t="str">
        <f aca="false">FieldIntelligenceInbox!W2</f>
        <v>CIOS→MIOS+OHOS</v>
      </c>
      <c r="D7" s="1" t="s">
        <v>184</v>
      </c>
    </row>
    <row r="8" customFormat="false" ht="19.5" hidden="false" customHeight="true" outlineLevel="0" collapsed="false">
      <c r="A8" s="1" t="s">
        <v>185</v>
      </c>
      <c r="B8" s="6" t="str">
        <f aca="false">MessageUpdateRouter!G4</f>
        <v>Urgent</v>
      </c>
    </row>
    <row r="9" customFormat="false" ht="19.5" hidden="false" customHeight="true" outlineLevel="0" collapsed="false">
      <c r="A9" s="1" t="s">
        <v>186</v>
      </c>
      <c r="B9" s="6" t="str">
        <f aca="false">MessageUpdateRouter!H4</f>
        <v>Brand Strategy + Medical + Training</v>
      </c>
      <c r="D9" s="4" t="s">
        <v>187</v>
      </c>
    </row>
    <row r="10" customFormat="false" ht="19.5" hidden="false" customHeight="true" outlineLevel="0" collapsed="false">
      <c r="D10" s="1" t="s">
        <v>188</v>
      </c>
    </row>
    <row r="11" customFormat="false" ht="19.5" hidden="false" customHeight="true" outlineLevel="0" collapsed="false">
      <c r="A11" s="4" t="s">
        <v>189</v>
      </c>
    </row>
    <row r="12" customFormat="false" ht="19.5" hidden="false" customHeight="true" outlineLevel="0" collapsed="false">
      <c r="A12" s="1" t="s">
        <v>190</v>
      </c>
    </row>
    <row r="13" customFormat="false" ht="19.5" hidden="false" customHeight="true" outlineLevel="0" collapsed="false">
      <c r="A13" s="1" t="s">
        <v>191</v>
      </c>
    </row>
    <row r="14" customFormat="false" ht="19.5" hidden="false" customHeight="true" outlineLevel="0" collapsed="false">
      <c r="A14" s="1" t="s">
        <v>192</v>
      </c>
    </row>
    <row r="15" customFormat="false" ht="19.5" hidden="false" customHeight="true" outlineLevel="0" collapsed="false">
      <c r="A15" s="1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1"/>
    <col collapsed="false" customWidth="true" hidden="false" outlineLevel="0" max="6" min="2" style="1" width="34"/>
  </cols>
  <sheetData>
    <row r="1" customFormat="false" ht="19.5" hidden="false" customHeight="true" outlineLevel="0" collapsed="false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198</v>
      </c>
      <c r="F1" s="2" t="s">
        <v>199</v>
      </c>
    </row>
    <row r="2" customFormat="false" ht="19.5" hidden="false" customHeight="true" outlineLevel="0" collapsed="false">
      <c r="A2" s="1" t="s">
        <v>111</v>
      </c>
      <c r="B2" s="1" t="s">
        <v>200</v>
      </c>
      <c r="C2" s="1" t="s">
        <v>201</v>
      </c>
      <c r="D2" s="1" t="s">
        <v>202</v>
      </c>
      <c r="E2" s="1" t="s">
        <v>203</v>
      </c>
      <c r="F2" s="1" t="s">
        <v>204</v>
      </c>
    </row>
    <row r="3" customFormat="false" ht="19.5" hidden="false" customHeight="true" outlineLevel="0" collapsed="false">
      <c r="A3" s="1" t="s">
        <v>205</v>
      </c>
      <c r="B3" s="1" t="s">
        <v>206</v>
      </c>
      <c r="C3" s="1" t="s">
        <v>207</v>
      </c>
      <c r="D3" s="1" t="s">
        <v>208</v>
      </c>
      <c r="E3" s="1" t="s">
        <v>209</v>
      </c>
      <c r="F3" s="1" t="s">
        <v>210</v>
      </c>
    </row>
    <row r="4" customFormat="false" ht="19.5" hidden="false" customHeight="true" outlineLevel="0" collapsed="false">
      <c r="A4" s="1" t="s">
        <v>124</v>
      </c>
      <c r="B4" s="1" t="s">
        <v>211</v>
      </c>
      <c r="C4" s="1" t="s">
        <v>212</v>
      </c>
      <c r="D4" s="1" t="s">
        <v>213</v>
      </c>
      <c r="E4" s="1" t="s">
        <v>214</v>
      </c>
      <c r="F4" s="1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1"/>
    <col collapsed="false" customWidth="true" hidden="false" outlineLevel="0" max="5" min="2" style="1" width="34"/>
    <col collapsed="false" customWidth="true" hidden="false" outlineLevel="0" max="6" min="6" style="1" width="27"/>
  </cols>
  <sheetData>
    <row r="1" customFormat="false" ht="19.5" hidden="false" customHeight="true" outlineLevel="0" collapsed="false">
      <c r="A1" s="2" t="s">
        <v>194</v>
      </c>
      <c r="B1" s="2" t="s">
        <v>216</v>
      </c>
      <c r="C1" s="2" t="s">
        <v>217</v>
      </c>
      <c r="D1" s="2" t="s">
        <v>218</v>
      </c>
      <c r="E1" s="2" t="s">
        <v>219</v>
      </c>
      <c r="F1" s="2" t="s">
        <v>220</v>
      </c>
    </row>
    <row r="2" customFormat="false" ht="19.5" hidden="false" customHeight="true" outlineLevel="0" collapsed="false">
      <c r="A2" s="1" t="s">
        <v>205</v>
      </c>
      <c r="B2" s="1" t="s">
        <v>221</v>
      </c>
      <c r="C2" s="1" t="s">
        <v>159</v>
      </c>
      <c r="D2" s="1" t="s">
        <v>222</v>
      </c>
      <c r="E2" s="1" t="s">
        <v>223</v>
      </c>
      <c r="F2" s="1" t="s">
        <v>112</v>
      </c>
    </row>
    <row r="3" customFormat="false" ht="19.5" hidden="false" customHeight="true" outlineLevel="0" collapsed="false">
      <c r="A3" s="1" t="s">
        <v>124</v>
      </c>
      <c r="B3" s="1" t="s">
        <v>224</v>
      </c>
      <c r="C3" s="1" t="s">
        <v>225</v>
      </c>
      <c r="D3" s="1" t="s">
        <v>170</v>
      </c>
      <c r="E3" s="1" t="s">
        <v>226</v>
      </c>
      <c r="F3" s="1" t="s">
        <v>112</v>
      </c>
    </row>
    <row r="4" customFormat="false" ht="19.5" hidden="false" customHeight="true" outlineLevel="0" collapsed="false">
      <c r="A4" s="1" t="s">
        <v>134</v>
      </c>
      <c r="B4" s="1" t="s">
        <v>227</v>
      </c>
      <c r="C4" s="1" t="s">
        <v>228</v>
      </c>
      <c r="D4" s="1" t="s">
        <v>229</v>
      </c>
      <c r="E4" s="1" t="s">
        <v>230</v>
      </c>
      <c r="F4" s="1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31"/>
    <col collapsed="false" customWidth="true" hidden="false" outlineLevel="0" max="5" min="5" style="1" width="26"/>
    <col collapsed="false" customWidth="true" hidden="false" outlineLevel="0" max="6" min="6" style="1" width="13"/>
    <col collapsed="false" customWidth="true" hidden="false" outlineLevel="0" max="7" min="7" style="1" width="34"/>
    <col collapsed="false" customWidth="true" hidden="false" outlineLevel="0" max="8" min="8" style="1" width="16"/>
    <col collapsed="false" customWidth="true" hidden="false" outlineLevel="0" max="9" min="9" style="1" width="29"/>
    <col collapsed="false" customWidth="true" hidden="false" outlineLevel="0" max="10" min="10" style="1" width="16"/>
    <col collapsed="false" customWidth="true" hidden="false" outlineLevel="0" max="11" min="11" style="1" width="19"/>
    <col collapsed="false" customWidth="true" hidden="false" outlineLevel="0" max="12" min="12" style="1" width="16"/>
    <col collapsed="false" customWidth="true" hidden="false" outlineLevel="0" max="13" min="13" style="1" width="18"/>
    <col collapsed="false" customWidth="true" hidden="false" outlineLevel="0" max="14" min="14" style="1" width="9"/>
    <col collapsed="false" customWidth="true" hidden="false" outlineLevel="0" max="15" min="15" style="1" width="12"/>
    <col collapsed="false" customWidth="true" hidden="false" outlineLevel="0" max="16" min="16" style="1" width="24"/>
    <col collapsed="false" customWidth="true" hidden="false" outlineLevel="0" max="17" min="17" style="1" width="18"/>
    <col collapsed="false" customWidth="true" hidden="false" outlineLevel="0" max="19" min="18" style="1" width="19"/>
    <col collapsed="false" customWidth="true" hidden="false" outlineLevel="0" max="21" min="20" style="1" width="20"/>
    <col collapsed="false" customWidth="true" hidden="false" outlineLevel="0" max="22" min="22" style="1" width="21"/>
    <col collapsed="false" customWidth="true" hidden="false" outlineLevel="0" max="23" min="23" style="1" width="17"/>
    <col collapsed="false" customWidth="true" hidden="false" outlineLevel="0" max="24" min="24" style="1" width="22"/>
    <col collapsed="false" customWidth="true" hidden="false" outlineLevel="0" max="25" min="25" style="1" width="18"/>
    <col collapsed="false" customWidth="true" hidden="false" outlineLevel="0" max="26" min="26" style="1" width="21"/>
    <col collapsed="false" customWidth="true" hidden="false" outlineLevel="0" max="27" min="27" style="1" width="25"/>
    <col collapsed="false" customWidth="true" hidden="false" outlineLevel="0" max="28" min="28" style="1" width="2"/>
  </cols>
  <sheetData>
    <row r="1" customFormat="false" ht="19.5" hidden="false" customHeight="true" outlineLevel="0" collapsed="false">
      <c r="A1" s="4" t="s">
        <v>232</v>
      </c>
    </row>
    <row r="2" customFormat="false" ht="19.5" hidden="false" customHeight="true" outlineLevel="0" collapsed="false"/>
    <row r="3" customFormat="false" ht="19.5" hidden="false" customHeight="true" outlineLevel="0" collapsed="false">
      <c r="A3" s="2" t="s">
        <v>233</v>
      </c>
      <c r="B3" s="2" t="s">
        <v>72</v>
      </c>
      <c r="C3" s="2" t="s">
        <v>73</v>
      </c>
      <c r="D3" s="2" t="s">
        <v>194</v>
      </c>
      <c r="E3" s="2" t="s">
        <v>234</v>
      </c>
      <c r="F3" s="2" t="s">
        <v>176</v>
      </c>
      <c r="G3" s="2" t="s">
        <v>175</v>
      </c>
      <c r="H3" s="2" t="s">
        <v>235</v>
      </c>
      <c r="I3" s="2" t="s">
        <v>236</v>
      </c>
      <c r="J3" s="2" t="s">
        <v>237</v>
      </c>
      <c r="K3" s="2" t="s">
        <v>238</v>
      </c>
      <c r="L3" s="2" t="s">
        <v>239</v>
      </c>
      <c r="M3" s="2" t="s">
        <v>4</v>
      </c>
      <c r="N3" s="2" t="s">
        <v>8</v>
      </c>
      <c r="O3" s="2" t="s">
        <v>240</v>
      </c>
      <c r="P3" s="2" t="s">
        <v>241</v>
      </c>
      <c r="Q3" s="2" t="s">
        <v>242</v>
      </c>
      <c r="R3" s="2" t="s">
        <v>243</v>
      </c>
      <c r="S3" s="2" t="s">
        <v>244</v>
      </c>
      <c r="T3" s="2" t="s">
        <v>245</v>
      </c>
      <c r="U3" s="2" t="s">
        <v>246</v>
      </c>
      <c r="V3" s="2" t="s">
        <v>247</v>
      </c>
      <c r="W3" s="2" t="s">
        <v>248</v>
      </c>
      <c r="X3" s="2" t="s">
        <v>249</v>
      </c>
      <c r="Y3" s="2" t="s">
        <v>250</v>
      </c>
      <c r="Z3" s="2" t="s">
        <v>251</v>
      </c>
      <c r="AA3" s="2" t="s">
        <v>252</v>
      </c>
    </row>
    <row r="4" customFormat="false" ht="19.5" hidden="false" customHeight="true" outlineLevel="0" collapsed="false">
      <c r="A4" s="1" t="s">
        <v>253</v>
      </c>
      <c r="B4" s="1" t="s">
        <v>98</v>
      </c>
      <c r="C4" s="1" t="s">
        <v>100</v>
      </c>
      <c r="D4" s="1" t="s">
        <v>111</v>
      </c>
      <c r="E4" s="1" t="s">
        <v>254</v>
      </c>
      <c r="F4" s="1" t="s">
        <v>154</v>
      </c>
      <c r="G4" s="1" t="s">
        <v>255</v>
      </c>
      <c r="H4" s="1" t="s">
        <v>256</v>
      </c>
      <c r="I4" s="1" t="s">
        <v>257</v>
      </c>
      <c r="J4" s="1" t="s">
        <v>258</v>
      </c>
      <c r="K4" s="1" t="s">
        <v>259</v>
      </c>
      <c r="L4" s="1" t="s">
        <v>112</v>
      </c>
      <c r="M4" s="1" t="s">
        <v>260</v>
      </c>
      <c r="N4" s="1" t="s">
        <v>261</v>
      </c>
      <c r="O4" s="1" t="s">
        <v>262</v>
      </c>
      <c r="P4" s="1" t="n">
        <v>30</v>
      </c>
      <c r="Q4" s="1" t="n">
        <v>0.6</v>
      </c>
      <c r="R4" s="1" t="n">
        <v>0.4</v>
      </c>
      <c r="S4" s="1" t="n">
        <v>0.5</v>
      </c>
      <c r="T4" s="1" t="n">
        <v>0.35</v>
      </c>
      <c r="U4" s="1" t="n">
        <v>3</v>
      </c>
      <c r="V4" s="1" t="n">
        <v>4</v>
      </c>
      <c r="W4" s="7" t="n">
        <f aca="false">R4-Q4</f>
        <v>-0.2</v>
      </c>
      <c r="X4" s="7" t="n">
        <f aca="false">T4-S4</f>
        <v>-0.15</v>
      </c>
      <c r="Y4" s="7" t="n">
        <f aca="false">V4-U4</f>
        <v>1</v>
      </c>
      <c r="Z4" s="7" t="n">
        <f aca="false">-(W4+X4)+Y4</f>
        <v>1.35</v>
      </c>
      <c r="AA4" s="7" t="str">
        <f aca="false">IF(Z4&gt;0.4,"No","Yes")</f>
        <v>No</v>
      </c>
      <c r="AB4" s="8"/>
    </row>
    <row r="5" customFormat="false" ht="19.5" hidden="false" customHeight="true" outlineLevel="0" collapsed="false">
      <c r="A5" s="1" t="s">
        <v>263</v>
      </c>
      <c r="B5" s="1" t="s">
        <v>114</v>
      </c>
      <c r="C5" s="1" t="s">
        <v>100</v>
      </c>
      <c r="D5" s="1" t="s">
        <v>124</v>
      </c>
      <c r="E5" s="1" t="s">
        <v>264</v>
      </c>
      <c r="F5" s="1" t="s">
        <v>163</v>
      </c>
      <c r="G5" s="1" t="s">
        <v>265</v>
      </c>
      <c r="H5" s="1" t="s">
        <v>266</v>
      </c>
      <c r="I5" s="1" t="s">
        <v>267</v>
      </c>
      <c r="J5" s="1" t="s">
        <v>258</v>
      </c>
      <c r="K5" s="1" t="s">
        <v>268</v>
      </c>
      <c r="L5" s="1" t="s">
        <v>269</v>
      </c>
      <c r="M5" s="1" t="s">
        <v>270</v>
      </c>
      <c r="N5" s="1" t="s">
        <v>261</v>
      </c>
      <c r="O5" s="1" t="s">
        <v>271</v>
      </c>
      <c r="P5" s="1" t="n">
        <v>30</v>
      </c>
      <c r="Q5" s="1" t="n">
        <v>0.55</v>
      </c>
      <c r="R5" s="1" t="n">
        <v>0.48</v>
      </c>
      <c r="S5" s="1" t="n">
        <v>0.3</v>
      </c>
      <c r="T5" s="1" t="n">
        <v>0.28</v>
      </c>
      <c r="U5" s="1" t="n">
        <v>3.2</v>
      </c>
      <c r="V5" s="1" t="n">
        <v>3.8</v>
      </c>
      <c r="W5" s="7" t="n">
        <f aca="false">R5-Q5</f>
        <v>-0.0700000000000001</v>
      </c>
      <c r="X5" s="7" t="n">
        <f aca="false">T5-S5</f>
        <v>-0.02</v>
      </c>
      <c r="Y5" s="7" t="n">
        <f aca="false">V5-U5</f>
        <v>0.6</v>
      </c>
      <c r="Z5" s="7" t="n">
        <f aca="false">-(W5+X5)+Y5</f>
        <v>0.69</v>
      </c>
      <c r="AA5" s="7" t="str">
        <f aca="false">IF(Z5&gt;0.4,"No","Yes")</f>
        <v>No</v>
      </c>
      <c r="AB5" s="8"/>
    </row>
    <row r="6" customFormat="false" ht="19.5" hidden="false" customHeight="true" outlineLevel="0" collapsed="false">
      <c r="A6" s="1" t="s">
        <v>272</v>
      </c>
      <c r="B6" s="1" t="s">
        <v>126</v>
      </c>
      <c r="C6" s="1" t="s">
        <v>100</v>
      </c>
      <c r="D6" s="1" t="s">
        <v>134</v>
      </c>
      <c r="E6" s="1" t="s">
        <v>273</v>
      </c>
      <c r="F6" s="1" t="s">
        <v>154</v>
      </c>
      <c r="G6" s="1" t="s">
        <v>274</v>
      </c>
      <c r="H6" s="1" t="s">
        <v>275</v>
      </c>
      <c r="I6" s="1" t="s">
        <v>276</v>
      </c>
      <c r="J6" s="1" t="s">
        <v>277</v>
      </c>
      <c r="K6" s="1" t="s">
        <v>268</v>
      </c>
      <c r="L6" s="1" t="s">
        <v>112</v>
      </c>
      <c r="M6" s="1" t="s">
        <v>278</v>
      </c>
      <c r="N6" s="1" t="s">
        <v>279</v>
      </c>
      <c r="O6" s="1" t="s">
        <v>280</v>
      </c>
      <c r="P6" s="1" t="n">
        <v>30</v>
      </c>
      <c r="Q6" s="1" t="n">
        <v>0.5</v>
      </c>
      <c r="R6" s="1" t="n">
        <v>0.5</v>
      </c>
      <c r="S6" s="1" t="n">
        <v>0.65</v>
      </c>
      <c r="T6" s="1" t="n">
        <v>0.65</v>
      </c>
      <c r="U6" s="1" t="n">
        <v>2.8</v>
      </c>
      <c r="V6" s="1" t="n">
        <v>2.8</v>
      </c>
      <c r="W6" s="7" t="n">
        <f aca="false">R6-Q6</f>
        <v>0</v>
      </c>
      <c r="X6" s="7" t="n">
        <f aca="false">T6-S6</f>
        <v>0</v>
      </c>
      <c r="Y6" s="7" t="n">
        <f aca="false">V6-U6</f>
        <v>0</v>
      </c>
      <c r="Z6" s="7" t="n">
        <f aca="false">-(W6+X6)+Y6</f>
        <v>0</v>
      </c>
      <c r="AA6" s="7" t="str">
        <f aca="false">IF(Z6&gt;0.4,"No","Yes")</f>
        <v>Yes</v>
      </c>
      <c r="AB6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1"/>
    <col collapsed="false" customWidth="true" hidden="false" outlineLevel="0" max="13" min="2" style="1" width="34"/>
  </cols>
  <sheetData>
    <row r="1" customFormat="false" ht="19.5" hidden="false" customHeight="true" outlineLevel="0" collapsed="false">
      <c r="A1" s="4" t="s">
        <v>281</v>
      </c>
    </row>
    <row r="2" customFormat="false" ht="19.5" hidden="false" customHeight="true" outlineLevel="0" collapsed="false"/>
    <row r="3" customFormat="false" ht="19.5" hidden="false" customHeight="true" outlineLevel="0" collapsed="false">
      <c r="A3" s="2" t="s">
        <v>194</v>
      </c>
      <c r="B3" s="2" t="s">
        <v>282</v>
      </c>
      <c r="C3" s="2" t="s">
        <v>283</v>
      </c>
      <c r="D3" s="2" t="s">
        <v>284</v>
      </c>
      <c r="E3" s="2" t="s">
        <v>285</v>
      </c>
      <c r="F3" s="2" t="s">
        <v>286</v>
      </c>
      <c r="G3" s="2" t="s">
        <v>287</v>
      </c>
      <c r="H3" s="2" t="s">
        <v>288</v>
      </c>
      <c r="I3" s="2" t="s">
        <v>289</v>
      </c>
      <c r="J3" s="2" t="s">
        <v>290</v>
      </c>
      <c r="K3" s="2" t="s">
        <v>291</v>
      </c>
      <c r="L3" s="2" t="s">
        <v>292</v>
      </c>
      <c r="M3" s="2" t="s">
        <v>39</v>
      </c>
    </row>
    <row r="4" customFormat="false" ht="19.5" hidden="false" customHeight="true" outlineLevel="0" collapsed="false">
      <c r="A4" s="1" t="s">
        <v>111</v>
      </c>
      <c r="B4" s="7" t="n">
        <f aca="false">COUNTIF(DeploymentTracker!D:D,A4)</f>
        <v>1</v>
      </c>
      <c r="C4" s="7" t="n">
        <f aca="false">IF(B4=0,"",SUMIF(DeploymentTracker!D:D,A4,DeploymentTracker!Q:Q)/B4)</f>
        <v>0.6</v>
      </c>
      <c r="D4" s="7" t="n">
        <f aca="false">IF(B4=0,"",SUMIF(DeploymentTracker!D:D,A4,DeploymentTracker!R:R)/B4)</f>
        <v>0.4</v>
      </c>
      <c r="E4" s="7" t="n">
        <f aca="false">IF(B4=0,"",SUMIF(DeploymentTracker!D:D,A4,DeploymentTracker!S:S)/B4)</f>
        <v>0.5</v>
      </c>
      <c r="F4" s="7" t="n">
        <f aca="false">IF(B4=0,"",SUMIF(DeploymentTracker!D:D,A4,DeploymentTracker!T:T)/B4)</f>
        <v>0.35</v>
      </c>
      <c r="G4" s="7" t="n">
        <f aca="false">IF(B4=0,"",SUMIF(DeploymentTracker!D:D,A4,DeploymentTracker!U:U)/B4)</f>
        <v>3</v>
      </c>
      <c r="H4" s="7" t="n">
        <f aca="false">IF(B4=0,"",SUMIF(DeploymentTracker!D:D,A4,DeploymentTracker!V:V)/B4)</f>
        <v>4</v>
      </c>
      <c r="I4" s="7" t="n">
        <f aca="false">IF(B4=0,"",SUMIF(DeploymentTracker!D:D,A4,DeploymentTracker!W:W)/B4)</f>
        <v>-0.2</v>
      </c>
      <c r="J4" s="7" t="n">
        <f aca="false">IF(B4=0,"",SUMIF(DeploymentTracker!D:D,A4,DeploymentTracker!X:X)/B4)</f>
        <v>-0.15</v>
      </c>
      <c r="K4" s="7" t="n">
        <f aca="false">IF(B4=0,"",SUMIF(DeploymentTracker!D:D,A4,DeploymentTracker!Y:Y)/B4)</f>
        <v>1</v>
      </c>
      <c r="L4" s="7" t="n">
        <f aca="false">IF(B4=0,"",SUMIF(DeploymentTracker!D:D,A4,DeploymentTracker!Z:Z)/B4)</f>
        <v>1.35</v>
      </c>
      <c r="M4" s="1" t="str">
        <f aca="false">IF(L4="","",IF(L4&gt;0.4,"Improving strongly",IF(L4&gt;0.15,"Improving modestly","Limited movement")))</f>
        <v>Improving strongly</v>
      </c>
    </row>
    <row r="5" customFormat="false" ht="19.5" hidden="false" customHeight="true" outlineLevel="0" collapsed="false">
      <c r="A5" s="1" t="s">
        <v>124</v>
      </c>
      <c r="B5" s="7" t="n">
        <f aca="false">COUNTIF(DeploymentTracker!D:D,A5)</f>
        <v>1</v>
      </c>
      <c r="C5" s="7" t="n">
        <f aca="false">IF(B5=0,"",SUMIF(DeploymentTracker!D:D,A5,DeploymentTracker!Q:Q)/B5)</f>
        <v>0.55</v>
      </c>
      <c r="D5" s="7" t="n">
        <f aca="false">IF(B5=0,"",SUMIF(DeploymentTracker!D:D,A5,DeploymentTracker!R:R)/B5)</f>
        <v>0.48</v>
      </c>
      <c r="E5" s="7" t="n">
        <f aca="false">IF(B5=0,"",SUMIF(DeploymentTracker!D:D,A5,DeploymentTracker!S:S)/B5)</f>
        <v>0.3</v>
      </c>
      <c r="F5" s="7" t="n">
        <f aca="false">IF(B5=0,"",SUMIF(DeploymentTracker!D:D,A5,DeploymentTracker!T:T)/B5)</f>
        <v>0.28</v>
      </c>
      <c r="G5" s="7" t="n">
        <f aca="false">IF(B5=0,"",SUMIF(DeploymentTracker!D:D,A5,DeploymentTracker!U:U)/B5)</f>
        <v>3.2</v>
      </c>
      <c r="H5" s="7" t="n">
        <f aca="false">IF(B5=0,"",SUMIF(DeploymentTracker!D:D,A5,DeploymentTracker!V:V)/B5)</f>
        <v>3.8</v>
      </c>
      <c r="I5" s="7" t="n">
        <f aca="false">IF(B5=0,"",SUMIF(DeploymentTracker!D:D,A5,DeploymentTracker!W:W)/B5)</f>
        <v>-0.0700000000000001</v>
      </c>
      <c r="J5" s="7" t="n">
        <f aca="false">IF(B5=0,"",SUMIF(DeploymentTracker!D:D,A5,DeploymentTracker!X:X)/B5)</f>
        <v>-0.02</v>
      </c>
      <c r="K5" s="7" t="n">
        <f aca="false">IF(B5=0,"",SUMIF(DeploymentTracker!D:D,A5,DeploymentTracker!Y:Y)/B5)</f>
        <v>0.6</v>
      </c>
      <c r="L5" s="7" t="n">
        <f aca="false">IF(B5=0,"",SUMIF(DeploymentTracker!D:D,A5,DeploymentTracker!Z:Z)/B5)</f>
        <v>0.69</v>
      </c>
      <c r="M5" s="1" t="str">
        <f aca="false">IF(L5="","",IF(L5&gt;0.4,"Improving strongly",IF(L5&gt;0.15,"Improving modestly","Limited movement")))</f>
        <v>Improving strongly</v>
      </c>
    </row>
    <row r="6" customFormat="false" ht="19.5" hidden="false" customHeight="true" outlineLevel="0" collapsed="false">
      <c r="A6" s="1" t="s">
        <v>134</v>
      </c>
      <c r="B6" s="7" t="n">
        <f aca="false">COUNTIF(DeploymentTracker!D:D,A6)</f>
        <v>1</v>
      </c>
      <c r="C6" s="7" t="n">
        <f aca="false">IF(B6=0,"",SUMIF(DeploymentTracker!D:D,A6,DeploymentTracker!Q:Q)/B6)</f>
        <v>0.5</v>
      </c>
      <c r="D6" s="7" t="n">
        <f aca="false">IF(B6=0,"",SUMIF(DeploymentTracker!D:D,A6,DeploymentTracker!R:R)/B6)</f>
        <v>0.5</v>
      </c>
      <c r="E6" s="7" t="n">
        <f aca="false">IF(B6=0,"",SUMIF(DeploymentTracker!D:D,A6,DeploymentTracker!S:S)/B6)</f>
        <v>0.65</v>
      </c>
      <c r="F6" s="7" t="n">
        <f aca="false">IF(B6=0,"",SUMIF(DeploymentTracker!D:D,A6,DeploymentTracker!T:T)/B6)</f>
        <v>0.65</v>
      </c>
      <c r="G6" s="7" t="n">
        <f aca="false">IF(B6=0,"",SUMIF(DeploymentTracker!D:D,A6,DeploymentTracker!U:U)/B6)</f>
        <v>2.8</v>
      </c>
      <c r="H6" s="7" t="n">
        <f aca="false">IF(B6=0,"",SUMIF(DeploymentTracker!D:D,A6,DeploymentTracker!V:V)/B6)</f>
        <v>2.8</v>
      </c>
      <c r="I6" s="7" t="n">
        <f aca="false">IF(B6=0,"",SUMIF(DeploymentTracker!D:D,A6,DeploymentTracker!W:W)/B6)</f>
        <v>0</v>
      </c>
      <c r="J6" s="7" t="n">
        <f aca="false">IF(B6=0,"",SUMIF(DeploymentTracker!D:D,A6,DeploymentTracker!X:X)/B6)</f>
        <v>0</v>
      </c>
      <c r="K6" s="7" t="n">
        <f aca="false">IF(B6=0,"",SUMIF(DeploymentTracker!D:D,A6,DeploymentTracker!Y:Y)/B6)</f>
        <v>0</v>
      </c>
      <c r="L6" s="7" t="n">
        <f aca="false">IF(B6=0,"",SUMIF(DeploymentTracker!D:D,A6,DeploymentTracker!Z:Z)/B6)</f>
        <v>0</v>
      </c>
      <c r="M6" s="1" t="str">
        <f aca="false">IF(L6="","",IF(L6&gt;0.4,"Improving strongly",IF(L6&gt;0.15,"Improving modestly","Limited movement")))</f>
        <v>Limited movement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1"/>
    <col collapsed="false" customWidth="true" hidden="false" outlineLevel="0" max="11" min="3" style="1" width="23"/>
    <col collapsed="false" customWidth="true" hidden="false" outlineLevel="0" max="15" min="12" style="1" width="34"/>
  </cols>
  <sheetData>
    <row r="1" customFormat="false" ht="19.5" hidden="false" customHeight="true" outlineLevel="0" collapsed="false">
      <c r="A1" s="4" t="s">
        <v>293</v>
      </c>
    </row>
    <row r="2" customFormat="false" ht="19.5" hidden="false" customHeight="true" outlineLevel="0" collapsed="false"/>
    <row r="3" customFormat="false" ht="19.5" hidden="false" customHeight="true" outlineLevel="0" collapsed="false">
      <c r="A3" s="2" t="s">
        <v>234</v>
      </c>
      <c r="B3" s="2" t="s">
        <v>194</v>
      </c>
      <c r="C3" s="2" t="s">
        <v>294</v>
      </c>
      <c r="D3" s="2" t="s">
        <v>8</v>
      </c>
      <c r="E3" s="2" t="s">
        <v>242</v>
      </c>
      <c r="F3" s="2" t="s">
        <v>243</v>
      </c>
      <c r="G3" s="2" t="s">
        <v>244</v>
      </c>
      <c r="H3" s="2" t="s">
        <v>245</v>
      </c>
      <c r="I3" s="2" t="s">
        <v>295</v>
      </c>
      <c r="J3" s="2" t="s">
        <v>296</v>
      </c>
      <c r="K3" s="2" t="s">
        <v>251</v>
      </c>
      <c r="L3" s="2" t="s">
        <v>297</v>
      </c>
      <c r="M3" s="2" t="s">
        <v>298</v>
      </c>
      <c r="N3" s="2" t="s">
        <v>299</v>
      </c>
      <c r="O3" s="2" t="s">
        <v>300</v>
      </c>
    </row>
    <row r="4" customFormat="false" ht="19.5" hidden="false" customHeight="true" outlineLevel="0" collapsed="false">
      <c r="A4" s="1" t="s">
        <v>254</v>
      </c>
      <c r="B4" s="1" t="s">
        <v>111</v>
      </c>
      <c r="C4" s="7" t="str">
        <f aca="false">DeploymentTracker!A4</f>
        <v>DEP-001</v>
      </c>
      <c r="D4" s="7" t="str">
        <f aca="false">DeploymentTracker!N4</f>
        <v>Live</v>
      </c>
      <c r="E4" s="7" t="n">
        <f aca="false">DeploymentTracker!Q4</f>
        <v>0.6</v>
      </c>
      <c r="F4" s="7" t="n">
        <f aca="false">DeploymentTracker!R4</f>
        <v>0.4</v>
      </c>
      <c r="G4" s="7" t="n">
        <f aca="false">DeploymentTracker!S4</f>
        <v>0.5</v>
      </c>
      <c r="H4" s="7" t="n">
        <f aca="false">DeploymentTracker!T4</f>
        <v>0.35</v>
      </c>
      <c r="I4" s="7" t="n">
        <f aca="false">DeploymentTracker!U4</f>
        <v>3</v>
      </c>
      <c r="J4" s="7" t="n">
        <f aca="false">DeploymentTracker!V4</f>
        <v>4</v>
      </c>
      <c r="K4" s="7" t="n">
        <f aca="false">DeploymentTracker!Z4</f>
        <v>1.35</v>
      </c>
      <c r="L4" s="7" t="str">
        <f aca="false">IF(K4="","",IF(K4&gt;0.4,"Scale current approach",IF(K4&gt;0.15,"Refine and re-test","Rework message and objection strategy")))</f>
        <v>Scale current approach</v>
      </c>
      <c r="M4" s="7" t="str">
        <f aca="false">IF(K4="","",IF(AND(K4&lt;=0.15,E4-F4&lt;0.1),"Yes","No"))</f>
        <v>No</v>
      </c>
      <c r="N4" s="7" t="str">
        <f aca="false">IF(K4="","",IF(AND(K4&lt;=0.15,G4-H4&lt;0.05),"Yes","No"))</f>
        <v>No</v>
      </c>
      <c r="O4" s="7" t="str">
        <f aca="false">IF(B4="","",IF(LEFT(B4,11)="Pulmonology","Sales + MSL","MSL-led"))</f>
        <v>Sales + MSL</v>
      </c>
    </row>
    <row r="5" customFormat="false" ht="19.5" hidden="false" customHeight="true" outlineLevel="0" collapsed="false">
      <c r="A5" s="1" t="s">
        <v>264</v>
      </c>
      <c r="B5" s="1" t="s">
        <v>124</v>
      </c>
      <c r="C5" s="7" t="str">
        <f aca="false">DeploymentTracker!A5</f>
        <v>DEP-002</v>
      </c>
      <c r="D5" s="7" t="str">
        <f aca="false">DeploymentTracker!N5</f>
        <v>Live</v>
      </c>
      <c r="E5" s="7" t="n">
        <f aca="false">DeploymentTracker!Q5</f>
        <v>0.55</v>
      </c>
      <c r="F5" s="7" t="n">
        <f aca="false">DeploymentTracker!R5</f>
        <v>0.48</v>
      </c>
      <c r="G5" s="7" t="n">
        <f aca="false">DeploymentTracker!S5</f>
        <v>0.3</v>
      </c>
      <c r="H5" s="7" t="n">
        <f aca="false">DeploymentTracker!T5</f>
        <v>0.28</v>
      </c>
      <c r="I5" s="7" t="n">
        <f aca="false">DeploymentTracker!U5</f>
        <v>3.2</v>
      </c>
      <c r="J5" s="7" t="n">
        <f aca="false">DeploymentTracker!V5</f>
        <v>3.8</v>
      </c>
      <c r="K5" s="7" t="n">
        <f aca="false">DeploymentTracker!Z5</f>
        <v>0.69</v>
      </c>
      <c r="L5" s="7" t="str">
        <f aca="false">IF(K5="","",IF(K5&gt;0.4,"Scale current approach",IF(K5&gt;0.15,"Refine and re-test","Rework message and objection strategy")))</f>
        <v>Scale current approach</v>
      </c>
      <c r="M5" s="7" t="str">
        <f aca="false">IF(K5="","",IF(AND(K5&lt;=0.15,E5-F5&lt;0.1),"Yes","No"))</f>
        <v>No</v>
      </c>
      <c r="N5" s="7" t="str">
        <f aca="false">IF(K5="","",IF(AND(K5&lt;=0.15,G5-H5&lt;0.05),"Yes","No"))</f>
        <v>No</v>
      </c>
      <c r="O5" s="7" t="str">
        <f aca="false">IF(B5="","",IF(LEFT(B5,11)="Pulmonology","Sales + MSL","MSL-led"))</f>
        <v>MSL-led</v>
      </c>
    </row>
    <row r="6" customFormat="false" ht="19.5" hidden="false" customHeight="true" outlineLevel="0" collapsed="false">
      <c r="A6" s="1" t="s">
        <v>273</v>
      </c>
      <c r="B6" s="1" t="s">
        <v>134</v>
      </c>
      <c r="C6" s="7" t="str">
        <f aca="false">DeploymentTracker!A6</f>
        <v>DEP-003</v>
      </c>
      <c r="D6" s="7" t="str">
        <f aca="false">DeploymentTracker!N6</f>
        <v>Planned</v>
      </c>
      <c r="E6" s="7" t="n">
        <f aca="false">DeploymentTracker!Q6</f>
        <v>0.5</v>
      </c>
      <c r="F6" s="7" t="n">
        <f aca="false">DeploymentTracker!R6</f>
        <v>0.5</v>
      </c>
      <c r="G6" s="7" t="n">
        <f aca="false">DeploymentTracker!S6</f>
        <v>0.65</v>
      </c>
      <c r="H6" s="7" t="n">
        <f aca="false">DeploymentTracker!T6</f>
        <v>0.65</v>
      </c>
      <c r="I6" s="7" t="n">
        <f aca="false">DeploymentTracker!U6</f>
        <v>2.8</v>
      </c>
      <c r="J6" s="7" t="n">
        <f aca="false">DeploymentTracker!V6</f>
        <v>2.8</v>
      </c>
      <c r="K6" s="7" t="n">
        <f aca="false">DeploymentTracker!Z6</f>
        <v>0</v>
      </c>
      <c r="L6" s="7" t="str">
        <f aca="false">IF(K6="","",IF(K6&gt;0.4,"Scale current approach",IF(K6&gt;0.15,"Refine and re-test","Rework message and objection strategy")))</f>
        <v>Rework message and objection strategy</v>
      </c>
      <c r="M6" s="7" t="str">
        <f aca="false">IF(K6="","",IF(AND(K6&lt;=0.15,E6-F6&lt;0.1),"Yes","No"))</f>
        <v>Yes</v>
      </c>
      <c r="N6" s="7" t="str">
        <f aca="false">IF(K6="","",IF(AND(K6&lt;=0.15,G6-H6&lt;0.05),"Yes","No"))</f>
        <v>Yes</v>
      </c>
      <c r="O6" s="7" t="str">
        <f aca="false">IF(B6="","",IF(LEFT(B6,11)="Pulmonology","Sales + MSL","MSL-led"))</f>
        <v>Sales + MSL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27"/>
    <col collapsed="false" customWidth="true" hidden="false" outlineLevel="0" max="4" min="4" style="1" width="34"/>
  </cols>
  <sheetData>
    <row r="1" customFormat="false" ht="19.5" hidden="false" customHeight="true" outlineLevel="0" collapsed="false">
      <c r="A1" s="9" t="s">
        <v>301</v>
      </c>
    </row>
    <row r="2" customFormat="false" ht="19.5" hidden="false" customHeight="true" outlineLevel="0" collapsed="false"/>
    <row r="3" customFormat="false" ht="19.5" hidden="false" customHeight="true" outlineLevel="0" collapsed="false">
      <c r="A3" s="5" t="s">
        <v>302</v>
      </c>
      <c r="B3" s="6" t="n">
        <f aca="false">COUNTIF(DeploymentTracker!N:N,"Live")</f>
        <v>2</v>
      </c>
      <c r="D3" s="4" t="s">
        <v>303</v>
      </c>
    </row>
    <row r="4" customFormat="false" ht="19.5" hidden="false" customHeight="true" outlineLevel="0" collapsed="false">
      <c r="A4" s="5" t="s">
        <v>304</v>
      </c>
      <c r="B4" s="6" t="n">
        <f aca="false">COUNTIF(DeploymentTracker!N:N,"Planned")</f>
        <v>1</v>
      </c>
      <c r="D4" s="6" t="str">
        <f aca="false">IF(B5&gt;0.25,"Deployed updates are reducing friction in at least part of the field.","Field changes are not yet producing strong movement.")</f>
        <v>Deployed updates are reducing friction in at least part of the field.</v>
      </c>
    </row>
    <row r="5" customFormat="false" ht="19.5" hidden="false" customHeight="true" outlineLevel="0" collapsed="false">
      <c r="A5" s="5" t="s">
        <v>305</v>
      </c>
      <c r="B5" s="6" t="n">
        <f aca="false">AVERAGE(DeploymentTracker!Z:Z)</f>
        <v>0.68</v>
      </c>
    </row>
    <row r="6" customFormat="false" ht="19.5" hidden="false" customHeight="true" outlineLevel="0" collapsed="false">
      <c r="A6" s="5" t="s">
        <v>306</v>
      </c>
      <c r="B6" s="6" t="n">
        <f aca="false">COUNTIF(AccountFeedbackLoop!M:M,"Yes")</f>
        <v>1</v>
      </c>
      <c r="D6" s="4" t="s">
        <v>307</v>
      </c>
    </row>
    <row r="7" customFormat="false" ht="19.5" hidden="false" customHeight="true" outlineLevel="0" collapsed="false">
      <c r="A7" s="5" t="s">
        <v>308</v>
      </c>
      <c r="B7" s="6" t="n">
        <f aca="false">COUNTIF(AccountFeedbackLoop!N:N,"Yes")</f>
        <v>1</v>
      </c>
      <c r="D7" s="6" t="str">
        <f aca="false">IF(B6+B7&gt;0,"Re-route weak-performing accounts to MIOS/OHOS review this cycle.","Continue scaled deployment and monitor repeat objections.")</f>
        <v>Re-route weak-performing accounts to MIOS/OHOS review this cycle.</v>
      </c>
    </row>
    <row r="8" customFormat="false" ht="19.5" hidden="false" customHeight="true" outlineLevel="0" collapsed="false">
      <c r="A8" s="5" t="s">
        <v>309</v>
      </c>
      <c r="B8" s="6" t="n">
        <f aca="false">COUNTIF(SegmentOutcomeTracker!M:M,"Improving strongly")</f>
        <v>2</v>
      </c>
    </row>
    <row r="9" customFormat="false" ht="19.5" hidden="false" customHeight="true" outlineLevel="0" collapsed="false"/>
    <row r="10" customFormat="false" ht="19.5" hidden="false" customHeight="true" outlineLevel="0" collapsed="false">
      <c r="A10" s="2" t="s">
        <v>194</v>
      </c>
      <c r="B10" s="2" t="s">
        <v>310</v>
      </c>
      <c r="C10" s="2" t="s">
        <v>39</v>
      </c>
    </row>
    <row r="11" customFormat="false" ht="19.5" hidden="false" customHeight="true" outlineLevel="0" collapsed="false">
      <c r="A11" s="1" t="str">
        <f aca="false">SegmentOutcomeTracker!A4</f>
        <v>Pulmonology / community</v>
      </c>
      <c r="B11" s="1" t="n">
        <f aca="false">SegmentOutcomeTracker!L4</f>
        <v>1.35</v>
      </c>
      <c r="C11" s="1" t="str">
        <f aca="false">SegmentOutcomeTracker!M4</f>
        <v>Improving strongly</v>
      </c>
    </row>
    <row r="12" customFormat="false" ht="19.5" hidden="false" customHeight="true" outlineLevel="0" collapsed="false">
      <c r="A12" s="1" t="str">
        <f aca="false">SegmentOutcomeTracker!A5</f>
        <v>Infectious Disease / academic</v>
      </c>
      <c r="B12" s="1" t="n">
        <f aca="false">SegmentOutcomeTracker!L5</f>
        <v>0.69</v>
      </c>
      <c r="C12" s="1" t="str">
        <f aca="false">SegmentOutcomeTracker!M5</f>
        <v>Improving strongly</v>
      </c>
    </row>
    <row r="13" customFormat="false" ht="19.5" hidden="false" customHeight="true" outlineLevel="0" collapsed="false">
      <c r="A13" s="1" t="str">
        <f aca="false">SegmentOutcomeTracker!A6</f>
        <v>Pulmonology / general</v>
      </c>
      <c r="B13" s="1" t="n">
        <f aca="false">SegmentOutcomeTracker!L6</f>
        <v>0</v>
      </c>
      <c r="C13" s="1" t="str">
        <f aca="false">SegmentOutcomeTracker!M6</f>
        <v>Limited movement</v>
      </c>
    </row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>
      <c r="A16" s="2" t="s">
        <v>234</v>
      </c>
      <c r="B16" s="2" t="s">
        <v>311</v>
      </c>
      <c r="C16" s="2" t="s">
        <v>312</v>
      </c>
      <c r="D16" s="2" t="s">
        <v>313</v>
      </c>
    </row>
    <row r="17" customFormat="false" ht="19.5" hidden="false" customHeight="true" outlineLevel="0" collapsed="false">
      <c r="A17" s="1" t="str">
        <f aca="false">AccountFeedbackLoop!A4</f>
        <v>Community Pulm Account A</v>
      </c>
      <c r="B17" s="1" t="str">
        <f aca="false">AccountFeedbackLoop!L4</f>
        <v>Scale current approach</v>
      </c>
      <c r="C17" s="1" t="str">
        <f aca="false">AccountFeedbackLoop!M4</f>
        <v>No</v>
      </c>
      <c r="D17" s="1" t="str">
        <f aca="false">AccountFeedbackLoop!N4</f>
        <v>No</v>
      </c>
    </row>
    <row r="18" customFormat="false" ht="19.5" hidden="false" customHeight="true" outlineLevel="0" collapsed="false">
      <c r="A18" s="1" t="str">
        <f aca="false">AccountFeedbackLoop!A5</f>
        <v>Academic ID Center</v>
      </c>
      <c r="B18" s="1" t="str">
        <f aca="false">AccountFeedbackLoop!L5</f>
        <v>Scale current approach</v>
      </c>
      <c r="C18" s="1" t="str">
        <f aca="false">AccountFeedbackLoop!M5</f>
        <v>No</v>
      </c>
      <c r="D18" s="1" t="str">
        <f aca="false">AccountFeedbackLoop!N5</f>
        <v>No</v>
      </c>
    </row>
    <row r="19" customFormat="false" ht="19.5" hidden="false" customHeight="true" outlineLevel="0" collapsed="false">
      <c r="A19" s="1" t="str">
        <f aca="false">AccountFeedbackLoop!A6</f>
        <v>General Pulm Network B</v>
      </c>
      <c r="B19" s="1" t="str">
        <f aca="false">AccountFeedbackLoop!L6</f>
        <v>Rework message and objection strategy</v>
      </c>
      <c r="C19" s="1" t="str">
        <f aca="false">AccountFeedbackLoop!M6</f>
        <v>Yes</v>
      </c>
      <c r="D19" s="1" t="str">
        <f aca="false">AccountFeedbackLoop!N6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0"/>
  </cols>
  <sheetData>
    <row r="1" customFormat="false" ht="19.5" hidden="false" customHeight="true" outlineLevel="0" collapsed="false">
      <c r="A1" s="4" t="s">
        <v>314</v>
      </c>
    </row>
    <row r="2" customFormat="false" ht="19.5" hidden="false" customHeight="true" outlineLevel="0" collapsed="false"/>
    <row r="3" customFormat="false" ht="19.5" hidden="false" customHeight="true" outlineLevel="0" collapsed="false">
      <c r="A3" s="1" t="s">
        <v>315</v>
      </c>
    </row>
    <row r="4" customFormat="false" ht="19.5" hidden="false" customHeight="true" outlineLevel="0" collapsed="false">
      <c r="A4" s="1" t="s">
        <v>316</v>
      </c>
    </row>
    <row r="5" customFormat="false" ht="19.5" hidden="false" customHeight="true" outlineLevel="0" collapsed="false">
      <c r="A5" s="1" t="s">
        <v>317</v>
      </c>
    </row>
    <row r="6" customFormat="false" ht="19.5" hidden="false" customHeight="true" outlineLevel="0" collapsed="false">
      <c r="A6" s="1" t="s">
        <v>318</v>
      </c>
    </row>
    <row r="7" customFormat="false" ht="19.5" hidden="false" customHeight="true" outlineLevel="0" collapsed="false">
      <c r="A7" s="1" t="s">
        <v>319</v>
      </c>
    </row>
    <row r="8" customFormat="false" ht="19.5" hidden="false" customHeight="true" outlineLevel="0" collapsed="false">
      <c r="A8" s="1" t="s">
        <v>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4" min="3" style="1" width="34"/>
    <col collapsed="false" customWidth="true" hidden="false" outlineLevel="0" max="5" min="5" style="1" width="18"/>
    <col collapsed="false" customWidth="true" hidden="false" outlineLevel="0" max="6" min="6" style="1" width="34"/>
    <col collapsed="false" customWidth="true" hidden="false" outlineLevel="0" max="7" min="7" style="1" width="21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10"/>
    <col collapsed="false" customWidth="true" hidden="false" outlineLevel="0" max="11" min="11" style="1" width="8"/>
  </cols>
  <sheetData>
    <row r="1" customFormat="false" ht="19.5" hidden="false" customHeight="true" outlineLevel="0" collapsed="false">
      <c r="A1" s="9" t="s">
        <v>321</v>
      </c>
    </row>
    <row r="2" customFormat="false" ht="19.5" hidden="false" customHeight="true" outlineLevel="0" collapsed="false"/>
    <row r="3" customFormat="false" ht="19.5" hidden="false" customHeight="true" outlineLevel="0" collapsed="false">
      <c r="A3" s="2" t="s">
        <v>322</v>
      </c>
      <c r="B3" s="2" t="s">
        <v>323</v>
      </c>
      <c r="C3" s="2" t="s">
        <v>79</v>
      </c>
      <c r="D3" s="2" t="s">
        <v>324</v>
      </c>
      <c r="E3" s="2" t="s">
        <v>325</v>
      </c>
      <c r="F3" s="2" t="s">
        <v>326</v>
      </c>
      <c r="G3" s="2" t="s">
        <v>327</v>
      </c>
      <c r="H3" s="2" t="s">
        <v>328</v>
      </c>
      <c r="I3" s="2" t="s">
        <v>329</v>
      </c>
      <c r="J3" s="2" t="s">
        <v>330</v>
      </c>
      <c r="K3" s="2" t="s">
        <v>331</v>
      </c>
    </row>
    <row r="4" customFormat="false" ht="19.5" hidden="false" customHeight="true" outlineLevel="0" collapsed="false">
      <c r="A4" s="1" t="s">
        <v>332</v>
      </c>
      <c r="B4" s="1" t="s">
        <v>333</v>
      </c>
      <c r="C4" s="1" t="s">
        <v>334</v>
      </c>
      <c r="D4" s="1" t="s">
        <v>335</v>
      </c>
      <c r="E4" s="1" t="s">
        <v>336</v>
      </c>
      <c r="F4" s="1" t="s">
        <v>337</v>
      </c>
      <c r="G4" s="1" t="s">
        <v>30</v>
      </c>
      <c r="H4" s="1" t="s">
        <v>100</v>
      </c>
      <c r="I4" s="1" t="s">
        <v>133</v>
      </c>
      <c r="J4" s="1" t="n">
        <v>1</v>
      </c>
      <c r="K4" s="1" t="s">
        <v>112</v>
      </c>
    </row>
    <row r="5" customFormat="false" ht="19.5" hidden="false" customHeight="true" outlineLevel="0" collapsed="false">
      <c r="A5" s="1" t="s">
        <v>338</v>
      </c>
      <c r="B5" s="1" t="s">
        <v>339</v>
      </c>
      <c r="C5" s="1" t="s">
        <v>33</v>
      </c>
      <c r="D5" s="1" t="s">
        <v>340</v>
      </c>
      <c r="E5" s="1" t="s">
        <v>336</v>
      </c>
      <c r="F5" s="1" t="s">
        <v>341</v>
      </c>
      <c r="G5" s="1" t="s">
        <v>30</v>
      </c>
      <c r="H5" s="1" t="s">
        <v>100</v>
      </c>
      <c r="I5" s="1" t="s">
        <v>342</v>
      </c>
      <c r="J5" s="1" t="n">
        <v>1</v>
      </c>
      <c r="K5" s="1" t="s">
        <v>112</v>
      </c>
    </row>
    <row r="6" customFormat="false" ht="19.5" hidden="false" customHeight="true" outlineLevel="0" collapsed="false">
      <c r="A6" s="1" t="s">
        <v>343</v>
      </c>
      <c r="B6" s="1" t="s">
        <v>344</v>
      </c>
      <c r="C6" s="1" t="s">
        <v>345</v>
      </c>
      <c r="D6" s="1" t="s">
        <v>346</v>
      </c>
      <c r="E6" s="1" t="s">
        <v>336</v>
      </c>
      <c r="F6" s="1" t="s">
        <v>347</v>
      </c>
      <c r="G6" s="1" t="s">
        <v>107</v>
      </c>
      <c r="H6" s="1" t="s">
        <v>100</v>
      </c>
      <c r="I6" s="1" t="s">
        <v>133</v>
      </c>
      <c r="J6" s="1" t="n">
        <v>2</v>
      </c>
      <c r="K6" s="1" t="s">
        <v>112</v>
      </c>
    </row>
    <row r="7" customFormat="false" ht="19.5" hidden="false" customHeight="true" outlineLevel="0" collapsed="false">
      <c r="A7" s="1" t="s">
        <v>348</v>
      </c>
      <c r="B7" s="1" t="s">
        <v>22</v>
      </c>
      <c r="C7" s="1" t="s">
        <v>349</v>
      </c>
      <c r="D7" s="1" t="s">
        <v>350</v>
      </c>
      <c r="E7" s="1" t="s">
        <v>336</v>
      </c>
      <c r="F7" s="1" t="s">
        <v>351</v>
      </c>
      <c r="G7" s="1" t="s">
        <v>22</v>
      </c>
      <c r="H7" s="1" t="s">
        <v>100</v>
      </c>
      <c r="I7" s="1" t="s">
        <v>123</v>
      </c>
      <c r="J7" s="1" t="n">
        <v>2</v>
      </c>
      <c r="K7" s="1" t="s">
        <v>112</v>
      </c>
    </row>
    <row r="8" customFormat="false" ht="19.5" hidden="false" customHeight="true" outlineLevel="0" collapsed="false">
      <c r="A8" s="1" t="s">
        <v>352</v>
      </c>
      <c r="B8" s="1" t="s">
        <v>353</v>
      </c>
      <c r="C8" s="1" t="s">
        <v>354</v>
      </c>
      <c r="D8" s="1" t="s">
        <v>355</v>
      </c>
      <c r="E8" s="1" t="s">
        <v>336</v>
      </c>
      <c r="F8" s="1" t="s">
        <v>356</v>
      </c>
      <c r="G8" s="1" t="s">
        <v>357</v>
      </c>
      <c r="H8" s="1" t="s">
        <v>100</v>
      </c>
      <c r="I8" s="1" t="s">
        <v>110</v>
      </c>
      <c r="J8" s="1" t="n">
        <v>1</v>
      </c>
      <c r="K8" s="1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15"/>
    <col collapsed="false" customWidth="true" hidden="false" outlineLevel="0" max="8" min="7" style="1" width="34"/>
    <col collapsed="false" customWidth="true" hidden="false" outlineLevel="0" max="9" min="9" style="1" width="24"/>
    <col collapsed="false" customWidth="true" hidden="false" outlineLevel="0" max="10" min="10" style="1" width="19"/>
    <col collapsed="false" customWidth="true" hidden="false" outlineLevel="0" max="11" min="11" style="1" width="14"/>
    <col collapsed="false" customWidth="true" hidden="false" outlineLevel="0" max="12" min="12" style="1" width="18"/>
    <col collapsed="false" customWidth="true" hidden="false" outlineLevel="0" max="13" min="13" style="1" width="16"/>
    <col collapsed="false" customWidth="true" hidden="false" outlineLevel="0" max="14" min="14" style="1" width="22"/>
    <col collapsed="false" customWidth="true" hidden="false" outlineLevel="0" max="15" min="15" style="1" width="25"/>
    <col collapsed="false" customWidth="true" hidden="false" outlineLevel="0" max="16" min="16" style="1" width="16"/>
    <col collapsed="false" customWidth="true" hidden="false" outlineLevel="0" max="17" min="17" style="1" width="27"/>
    <col collapsed="false" customWidth="true" hidden="false" outlineLevel="0" max="18" min="18" style="1" width="15"/>
    <col collapsed="false" customWidth="true" hidden="false" outlineLevel="0" max="20" min="19" style="1" width="17"/>
    <col collapsed="false" customWidth="true" hidden="false" outlineLevel="0" max="21" min="21" style="1" width="19"/>
  </cols>
  <sheetData>
    <row r="1" customFormat="false" ht="19.5" hidden="false" customHeight="true" outlineLevel="0" collapsed="false">
      <c r="A1" s="9" t="s">
        <v>358</v>
      </c>
    </row>
    <row r="2" customFormat="false" ht="19.5" hidden="false" customHeight="true" outlineLevel="0" collapsed="false"/>
    <row r="3" customFormat="false" ht="19.5" hidden="false" customHeight="true" outlineLevel="0" collapsed="false">
      <c r="A3" s="2" t="s">
        <v>359</v>
      </c>
      <c r="B3" s="2" t="s">
        <v>360</v>
      </c>
      <c r="C3" s="2" t="s">
        <v>322</v>
      </c>
      <c r="D3" s="2" t="s">
        <v>79</v>
      </c>
      <c r="E3" s="2" t="s">
        <v>73</v>
      </c>
      <c r="F3" s="2" t="s">
        <v>361</v>
      </c>
      <c r="G3" s="2" t="s">
        <v>362</v>
      </c>
      <c r="H3" s="2" t="s">
        <v>363</v>
      </c>
      <c r="I3" s="2" t="s">
        <v>364</v>
      </c>
      <c r="J3" s="2" t="s">
        <v>365</v>
      </c>
      <c r="K3" s="2" t="s">
        <v>366</v>
      </c>
      <c r="L3" s="2" t="s">
        <v>367</v>
      </c>
      <c r="M3" s="2" t="s">
        <v>368</v>
      </c>
      <c r="N3" s="2" t="s">
        <v>90</v>
      </c>
      <c r="O3" s="2" t="s">
        <v>369</v>
      </c>
      <c r="P3" s="2" t="s">
        <v>93</v>
      </c>
      <c r="Q3" s="2" t="s">
        <v>370</v>
      </c>
      <c r="R3" s="2" t="s">
        <v>371</v>
      </c>
      <c r="S3" s="2" t="s">
        <v>372</v>
      </c>
      <c r="T3" s="2" t="s">
        <v>373</v>
      </c>
      <c r="U3" s="2" t="s">
        <v>374</v>
      </c>
    </row>
    <row r="4" customFormat="false" ht="19.5" hidden="false" customHeight="true" outlineLevel="0" collapsed="false">
      <c r="A4" s="1" t="s">
        <v>375</v>
      </c>
      <c r="B4" s="1" t="s">
        <v>99</v>
      </c>
      <c r="C4" s="1" t="s">
        <v>332</v>
      </c>
      <c r="D4" s="1" t="s">
        <v>334</v>
      </c>
      <c r="E4" s="1" t="s">
        <v>100</v>
      </c>
      <c r="F4" s="1" t="s">
        <v>333</v>
      </c>
      <c r="G4" s="1" t="s">
        <v>376</v>
      </c>
      <c r="H4" s="1" t="s">
        <v>377</v>
      </c>
      <c r="I4" s="1" t="s">
        <v>378</v>
      </c>
      <c r="J4" s="1" t="s">
        <v>49</v>
      </c>
      <c r="K4" s="1" t="n">
        <v>4</v>
      </c>
      <c r="L4" s="1" t="n">
        <v>5</v>
      </c>
      <c r="M4" s="1" t="n">
        <v>2</v>
      </c>
      <c r="N4" s="1" t="n">
        <v>4</v>
      </c>
      <c r="O4" s="7" t="n">
        <f aca="false">SUM(K4:N4)</f>
        <v>15</v>
      </c>
      <c r="P4" s="1" t="s">
        <v>133</v>
      </c>
      <c r="Q4" s="1" t="s">
        <v>205</v>
      </c>
      <c r="R4" s="10" t="s">
        <v>379</v>
      </c>
      <c r="S4" s="6"/>
    </row>
    <row r="5" customFormat="false" ht="19.5" hidden="false" customHeight="true" outlineLevel="0" collapsed="false">
      <c r="A5" s="1" t="s">
        <v>380</v>
      </c>
      <c r="B5" s="1" t="s">
        <v>99</v>
      </c>
      <c r="C5" s="1" t="s">
        <v>352</v>
      </c>
      <c r="D5" s="1" t="s">
        <v>381</v>
      </c>
      <c r="E5" s="1" t="s">
        <v>100</v>
      </c>
      <c r="F5" s="1" t="s">
        <v>353</v>
      </c>
      <c r="G5" s="1" t="s">
        <v>382</v>
      </c>
      <c r="H5" s="1" t="s">
        <v>383</v>
      </c>
      <c r="I5" s="1" t="s">
        <v>357</v>
      </c>
      <c r="J5" s="1" t="s">
        <v>44</v>
      </c>
      <c r="K5" s="1" t="n">
        <v>4</v>
      </c>
      <c r="L5" s="1" t="n">
        <v>4</v>
      </c>
      <c r="M5" s="1" t="n">
        <v>4</v>
      </c>
      <c r="N5" s="1" t="n">
        <v>4</v>
      </c>
      <c r="O5" s="7" t="n">
        <f aca="false">SUM(K5:N5)</f>
        <v>16</v>
      </c>
      <c r="P5" s="1" t="s">
        <v>110</v>
      </c>
      <c r="Q5" s="1" t="s">
        <v>111</v>
      </c>
      <c r="R5" s="10" t="s">
        <v>379</v>
      </c>
      <c r="S5" s="6"/>
    </row>
    <row r="6" customFormat="false" ht="19.5" hidden="false" customHeight="true" outlineLevel="0" collapsed="false">
      <c r="A6" s="1" t="s">
        <v>384</v>
      </c>
      <c r="B6" s="1" t="s">
        <v>99</v>
      </c>
      <c r="C6" s="1" t="s">
        <v>348</v>
      </c>
      <c r="D6" s="1" t="s">
        <v>385</v>
      </c>
      <c r="E6" s="1" t="s">
        <v>100</v>
      </c>
      <c r="F6" s="1" t="s">
        <v>22</v>
      </c>
      <c r="G6" s="1" t="s">
        <v>386</v>
      </c>
      <c r="H6" s="1" t="s">
        <v>387</v>
      </c>
      <c r="I6" s="1" t="s">
        <v>388</v>
      </c>
      <c r="J6" s="1" t="s">
        <v>49</v>
      </c>
      <c r="K6" s="1" t="n">
        <v>3</v>
      </c>
      <c r="L6" s="1" t="n">
        <v>4</v>
      </c>
      <c r="M6" s="1" t="n">
        <v>2</v>
      </c>
      <c r="N6" s="1" t="n">
        <v>5</v>
      </c>
      <c r="O6" s="7" t="n">
        <f aca="false">SUM(K6:N6)</f>
        <v>14</v>
      </c>
      <c r="P6" s="1" t="s">
        <v>123</v>
      </c>
      <c r="Q6" s="1" t="s">
        <v>134</v>
      </c>
      <c r="R6" s="10" t="s">
        <v>379</v>
      </c>
      <c r="S6" s="6"/>
    </row>
  </sheetData>
  <dataValidations count="2">
    <dataValidation allowBlank="true" errorStyle="stop" operator="equal" showDropDown="false" showErrorMessage="false" showInputMessage="false" sqref="R4:R200" type="list">
      <formula1>"Queued,In Review,Approved,Rejected,Deferred"</formula1>
      <formula2>0</formula2>
    </dataValidation>
    <dataValidation allowBlank="true" errorStyle="stop" operator="equal" showDropDown="false" showErrorMessage="false" showInputMessage="false" sqref="S4:S200" type="list">
      <formula1>"Validate,Reject,Escalate,Defer"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27"/>
    <col collapsed="false" customWidth="true" hidden="false" outlineLevel="0" max="13" min="4" style="1" width="34"/>
  </cols>
  <sheetData>
    <row r="1" customFormat="false" ht="19.5" hidden="false" customHeight="true" outlineLevel="0" collapsed="false">
      <c r="A1" s="9" t="s">
        <v>389</v>
      </c>
    </row>
    <row r="2" customFormat="false" ht="19.5" hidden="false" customHeight="true" outlineLevel="0" collapsed="false"/>
    <row r="3" customFormat="false" ht="19.5" hidden="false" customHeight="true" outlineLevel="0" collapsed="false">
      <c r="A3" s="2" t="s">
        <v>359</v>
      </c>
      <c r="B3" s="2" t="s">
        <v>73</v>
      </c>
      <c r="C3" s="2" t="s">
        <v>362</v>
      </c>
      <c r="D3" s="2" t="s">
        <v>390</v>
      </c>
      <c r="E3" s="2" t="s">
        <v>2</v>
      </c>
      <c r="F3" s="2" t="s">
        <v>37</v>
      </c>
      <c r="G3" s="2" t="s">
        <v>391</v>
      </c>
      <c r="H3" s="2" t="s">
        <v>392</v>
      </c>
      <c r="I3" s="2" t="s">
        <v>393</v>
      </c>
      <c r="J3" s="2" t="s">
        <v>394</v>
      </c>
      <c r="K3" s="2" t="s">
        <v>395</v>
      </c>
      <c r="L3" s="2" t="s">
        <v>396</v>
      </c>
      <c r="M3" s="2" t="s">
        <v>397</v>
      </c>
    </row>
    <row r="4" customFormat="false" ht="19.5" hidden="false" customHeight="true" outlineLevel="0" collapsed="false">
      <c r="A4" s="1" t="str">
        <f aca="false">CandidateSignalQueue!A4</f>
        <v>CS-001</v>
      </c>
      <c r="B4" s="1" t="str">
        <f aca="false">CandidateSignalQueue!E4</f>
        <v>ARIKAYCE</v>
      </c>
      <c r="C4" s="1" t="str">
        <f aca="false">CandidateSignalQueue!G4</f>
        <v>New publication emphasizes patient-relevant outcomes linkage</v>
      </c>
      <c r="D4" s="7" t="str">
        <f aca="false">IF(A4="","",CandidateSignalQueue!H4)</f>
        <v>A new publication appears to strengthen the bridge between microbiology and function.</v>
      </c>
      <c r="E4" s="1" t="str">
        <f aca="false">IF(A4="","",CandidateSignalQueue!I4)</f>
        <v>Clinical evidence</v>
      </c>
      <c r="F4" s="1" t="str">
        <f aca="false">IF(A4="","",CandidateSignalQueue!J4)</f>
        <v>Positive</v>
      </c>
      <c r="G4" s="7" t="n">
        <f aca="false">IF(A4="","",ROUND(CandidateSignalQueue!N4/1,0))</f>
        <v>4</v>
      </c>
      <c r="H4" s="7" t="n">
        <f aca="false">IF(A4="","",ROUND(CandidateSignalQueue!L4/1,0))</f>
        <v>5</v>
      </c>
      <c r="I4" s="7" t="n">
        <f aca="false">IF(A4="","",IF(F4="Positive",1+(G4*0.08),1-(G4*0.08)))</f>
        <v>1.32</v>
      </c>
      <c r="J4" s="7" t="str">
        <f aca="false">IF(A4="","",CandidateSignalQueue!P4)</f>
        <v>CIOS→MIOS</v>
      </c>
      <c r="K4" s="7" t="str">
        <f aca="false">IF(A4="","",CandidateSignalQueue!Q4)</f>
        <v>Pulmonology / NTM-focused</v>
      </c>
      <c r="L4" s="7" t="str">
        <f aca="false">IF(A4="","",IF(J4="CIOS→MIOS+OHOS","Brand Strategy + Medical + Training",IF(J4="CIOS→MIOS","Medical Strategy",IF(J4="CIOS→OHOS","Field Strategy / Training","CIOS Review"))))</f>
        <v>Medical Strategy</v>
      </c>
      <c r="M4" s="7" t="str">
        <f aca="false">IF(A4="","",IF(CandidateSignalQueue!S4="Validate","Yes","No"))</f>
        <v>No</v>
      </c>
    </row>
    <row r="5" customFormat="false" ht="19.5" hidden="false" customHeight="true" outlineLevel="0" collapsed="false">
      <c r="A5" s="1" t="str">
        <f aca="false">CandidateSignalQueue!A5</f>
        <v>CS-002</v>
      </c>
      <c r="B5" s="1" t="str">
        <f aca="false">CandidateSignalQueue!E5</f>
        <v>ARIKAYCE</v>
      </c>
      <c r="C5" s="1" t="str">
        <f aca="false">CandidateSignalQueue!G5</f>
        <v>Community pulmonologists still unclear on patient-fit</v>
      </c>
      <c r="D5" s="7" t="str">
        <f aca="false">IF(A5="","",CandidateSignalQueue!H5)</f>
        <v>Multiple accounts continue to ask for a simpler identification and referral story.</v>
      </c>
      <c r="E5" s="1" t="str">
        <f aca="false">IF(A5="","",CandidateSignalQueue!I5)</f>
        <v>Field intelligence</v>
      </c>
      <c r="F5" s="1" t="str">
        <f aca="false">IF(A5="","",CandidateSignalQueue!J5)</f>
        <v>Negative</v>
      </c>
      <c r="G5" s="7" t="n">
        <f aca="false">IF(A5="","",ROUND(CandidateSignalQueue!N5/1,0))</f>
        <v>4</v>
      </c>
      <c r="H5" s="7" t="n">
        <f aca="false">IF(A5="","",ROUND(CandidateSignalQueue!L5/1,0))</f>
        <v>4</v>
      </c>
      <c r="I5" s="7" t="n">
        <f aca="false">IF(A5="","",IF(F5="Positive",1+(G5*0.08),1-(G5*0.08)))</f>
        <v>0.68</v>
      </c>
      <c r="J5" s="7" t="str">
        <f aca="false">IF(A5="","",CandidateSignalQueue!P5)</f>
        <v>CIOS→MIOS+OHOS</v>
      </c>
      <c r="K5" s="7" t="str">
        <f aca="false">IF(A5="","",CandidateSignalQueue!Q5)</f>
        <v>Pulmonology / community</v>
      </c>
      <c r="L5" s="7" t="str">
        <f aca="false">IF(A5="","",IF(J5="CIOS→MIOS+OHOS","Brand Strategy + Medical + Training",IF(J5="CIOS→MIOS","Medical Strategy",IF(J5="CIOS→OHOS","Field Strategy / Training","CIOS Review"))))</f>
        <v>Brand Strategy + Medical + Training</v>
      </c>
      <c r="M5" s="7" t="str">
        <f aca="false">IF(A5="","",IF(CandidateSignalQueue!S5="Validate","Yes","No"))</f>
        <v>No</v>
      </c>
    </row>
    <row r="6" customFormat="false" ht="19.5" hidden="false" customHeight="true" outlineLevel="0" collapsed="false">
      <c r="A6" s="1" t="str">
        <f aca="false">CandidateSignalQueue!A6</f>
        <v>CS-003</v>
      </c>
      <c r="B6" s="1" t="str">
        <f aca="false">CandidateSignalQueue!E6</f>
        <v>ARIKAYCE</v>
      </c>
      <c r="C6" s="1" t="str">
        <f aca="false">CandidateSignalQueue!G6</f>
        <v>Coverage update may lower access friction in selected plans</v>
      </c>
      <c r="D6" s="7" t="str">
        <f aca="false">IF(A6="","",CandidateSignalQueue!H6)</f>
        <v>Emerging coverage shift could reduce reimbursement obstacles in target accounts.</v>
      </c>
      <c r="E6" s="1" t="str">
        <f aca="false">IF(A6="","",CandidateSignalQueue!I6)</f>
        <v>Access / commercial</v>
      </c>
      <c r="F6" s="1" t="str">
        <f aca="false">IF(A6="","",CandidateSignalQueue!J6)</f>
        <v>Positive</v>
      </c>
      <c r="G6" s="7" t="n">
        <f aca="false">IF(A6="","",ROUND(CandidateSignalQueue!N6/1,0))</f>
        <v>5</v>
      </c>
      <c r="H6" s="7" t="n">
        <f aca="false">IF(A6="","",ROUND(CandidateSignalQueue!L6/1,0))</f>
        <v>4</v>
      </c>
      <c r="I6" s="7" t="n">
        <f aca="false">IF(A6="","",IF(F6="Positive",1+(G6*0.08),1-(G6*0.08)))</f>
        <v>1.4</v>
      </c>
      <c r="J6" s="7" t="str">
        <f aca="false">IF(A6="","",CandidateSignalQueue!P6)</f>
        <v>CIOS→OHOS</v>
      </c>
      <c r="K6" s="7" t="str">
        <f aca="false">IF(A6="","",CandidateSignalQueue!Q6)</f>
        <v>Pulmonology / general</v>
      </c>
      <c r="L6" s="7" t="str">
        <f aca="false">IF(A6="","",IF(J6="CIOS→MIOS+OHOS","Brand Strategy + Medical + Training",IF(J6="CIOS→MIOS","Medical Strategy",IF(J6="CIOS→OHOS","Field Strategy / Training","CIOS Review"))))</f>
        <v>Field Strategy / Training</v>
      </c>
      <c r="M6" s="7" t="str">
        <f aca="false">IF(A6="","",IF(CandidateSignalQueue!S6="Validate","Yes","No"))</f>
        <v>No</v>
      </c>
    </row>
    <row r="7" customFormat="false" ht="19.5" hidden="false" customHeight="true" outlineLevel="0" collapsed="false">
      <c r="A7" s="1" t="n">
        <f aca="false">CandidateSignalQueue!A7</f>
        <v>0</v>
      </c>
      <c r="B7" s="1" t="n">
        <f aca="false">CandidateSignalQueue!E7</f>
        <v>0</v>
      </c>
      <c r="C7" s="1" t="n">
        <f aca="false">CandidateSignalQueue!G7</f>
        <v>0</v>
      </c>
      <c r="D7" s="7" t="str">
        <f aca="false">IF(A7="","",CandidateSignalQueue!H7)</f>
        <v/>
      </c>
      <c r="E7" s="1" t="str">
        <f aca="false">IF(A7="","",CandidateSignalQueue!I7)</f>
        <v/>
      </c>
      <c r="F7" s="1" t="str">
        <f aca="false">IF(A7="","",CandidateSignalQueue!J7)</f>
        <v/>
      </c>
      <c r="G7" s="7" t="str">
        <f aca="false">IF(A7="","",ROUND(CandidateSignalQueue!N7/1,0))</f>
        <v/>
      </c>
      <c r="H7" s="7" t="str">
        <f aca="false">IF(A7="","",ROUND(CandidateSignalQueue!L7/1,0))</f>
        <v/>
      </c>
      <c r="I7" s="7" t="str">
        <f aca="false">IF(A7="","",IF(F7="Positive",1+(G7*0.08),1-(G7*0.08)))</f>
        <v/>
      </c>
      <c r="J7" s="7" t="str">
        <f aca="false">IF(A7="","",CandidateSignalQueue!P7)</f>
        <v/>
      </c>
      <c r="K7" s="7" t="str">
        <f aca="false">IF(A7="","",CandidateSignalQueue!Q7)</f>
        <v/>
      </c>
      <c r="L7" s="7" t="str">
        <f aca="false">IF(A7="","",IF(J7="CIOS→MIOS+OHOS","Brand Strategy + Medical + Training",IF(J7="CIOS→MIOS","Medical Strategy",IF(J7="CIOS→OHOS","Field Strategy / Training","CIOS Review"))))</f>
        <v/>
      </c>
      <c r="M7" s="7" t="str">
        <f aca="false">IF(A7="","",IF(CandidateSignalQueue!S7="Validate","Yes","No"))</f>
        <v/>
      </c>
    </row>
    <row r="8" customFormat="false" ht="19.5" hidden="false" customHeight="true" outlineLevel="0" collapsed="false">
      <c r="A8" s="1" t="n">
        <f aca="false">CandidateSignalQueue!A8</f>
        <v>0</v>
      </c>
      <c r="B8" s="1" t="n">
        <f aca="false">CandidateSignalQueue!E8</f>
        <v>0</v>
      </c>
      <c r="C8" s="1" t="n">
        <f aca="false">CandidateSignalQueue!G8</f>
        <v>0</v>
      </c>
      <c r="D8" s="7" t="str">
        <f aca="false">IF(A8="","",CandidateSignalQueue!H8)</f>
        <v/>
      </c>
      <c r="E8" s="1" t="str">
        <f aca="false">IF(A8="","",CandidateSignalQueue!I8)</f>
        <v/>
      </c>
      <c r="F8" s="1" t="str">
        <f aca="false">IF(A8="","",CandidateSignalQueue!J8)</f>
        <v/>
      </c>
      <c r="G8" s="7" t="str">
        <f aca="false">IF(A8="","",ROUND(CandidateSignalQueue!N8/1,0))</f>
        <v/>
      </c>
      <c r="H8" s="7" t="str">
        <f aca="false">IF(A8="","",ROUND(CandidateSignalQueue!L8/1,0))</f>
        <v/>
      </c>
      <c r="I8" s="7" t="str">
        <f aca="false">IF(A8="","",IF(F8="Positive",1+(G8*0.08),1-(G8*0.08)))</f>
        <v/>
      </c>
      <c r="J8" s="7" t="str">
        <f aca="false">IF(A8="","",CandidateSignalQueue!P8)</f>
        <v/>
      </c>
      <c r="K8" s="7" t="str">
        <f aca="false">IF(A8="","",CandidateSignalQueue!Q8)</f>
        <v/>
      </c>
      <c r="L8" s="7" t="str">
        <f aca="false">IF(A8="","",IF(J8="CIOS→MIOS+OHOS","Brand Strategy + Medical + Training",IF(J8="CIOS→MIOS","Medical Strategy",IF(J8="CIOS→OHOS","Field Strategy / Training","CIOS Review"))))</f>
        <v/>
      </c>
      <c r="M8" s="7" t="str">
        <f aca="false">IF(A8="","",IF(CandidateSignalQueue!S8="Validate","Yes","No"))</f>
        <v/>
      </c>
    </row>
    <row r="9" customFormat="false" ht="19.5" hidden="false" customHeight="true" outlineLevel="0" collapsed="false">
      <c r="A9" s="1" t="n">
        <f aca="false">CandidateSignalQueue!A9</f>
        <v>0</v>
      </c>
      <c r="B9" s="1" t="n">
        <f aca="false">CandidateSignalQueue!E9</f>
        <v>0</v>
      </c>
      <c r="C9" s="1" t="n">
        <f aca="false">CandidateSignalQueue!G9</f>
        <v>0</v>
      </c>
      <c r="D9" s="7" t="str">
        <f aca="false">IF(A9="","",CandidateSignalQueue!H9)</f>
        <v/>
      </c>
      <c r="E9" s="1" t="str">
        <f aca="false">IF(A9="","",CandidateSignalQueue!I9)</f>
        <v/>
      </c>
      <c r="F9" s="1" t="str">
        <f aca="false">IF(A9="","",CandidateSignalQueue!J9)</f>
        <v/>
      </c>
      <c r="G9" s="7" t="str">
        <f aca="false">IF(A9="","",ROUND(CandidateSignalQueue!N9/1,0))</f>
        <v/>
      </c>
      <c r="H9" s="7" t="str">
        <f aca="false">IF(A9="","",ROUND(CandidateSignalQueue!L9/1,0))</f>
        <v/>
      </c>
      <c r="I9" s="7" t="str">
        <f aca="false">IF(A9="","",IF(F9="Positive",1+(G9*0.08),1-(G9*0.08)))</f>
        <v/>
      </c>
      <c r="J9" s="7" t="str">
        <f aca="false">IF(A9="","",CandidateSignalQueue!P9)</f>
        <v/>
      </c>
      <c r="K9" s="7" t="str">
        <f aca="false">IF(A9="","",CandidateSignalQueue!Q9)</f>
        <v/>
      </c>
      <c r="L9" s="7" t="str">
        <f aca="false">IF(A9="","",IF(J9="CIOS→MIOS+OHOS","Brand Strategy + Medical + Training",IF(J9="CIOS→MIOS","Medical Strategy",IF(J9="CIOS→OHOS","Field Strategy / Training","CIOS Review"))))</f>
        <v/>
      </c>
      <c r="M9" s="7" t="str">
        <f aca="false">IF(A9="","",IF(CandidateSignalQueue!S9="Validate","Yes","No"))</f>
        <v/>
      </c>
    </row>
    <row r="10" customFormat="false" ht="19.5" hidden="false" customHeight="true" outlineLevel="0" collapsed="false">
      <c r="A10" s="1" t="n">
        <f aca="false">CandidateSignalQueue!A10</f>
        <v>0</v>
      </c>
      <c r="B10" s="1" t="n">
        <f aca="false">CandidateSignalQueue!E10</f>
        <v>0</v>
      </c>
      <c r="C10" s="1" t="n">
        <f aca="false">CandidateSignalQueue!G10</f>
        <v>0</v>
      </c>
      <c r="D10" s="7" t="str">
        <f aca="false">IF(A10="","",CandidateSignalQueue!H10)</f>
        <v/>
      </c>
      <c r="E10" s="1" t="str">
        <f aca="false">IF(A10="","",CandidateSignalQueue!I10)</f>
        <v/>
      </c>
      <c r="F10" s="1" t="str">
        <f aca="false">IF(A10="","",CandidateSignalQueue!J10)</f>
        <v/>
      </c>
      <c r="G10" s="7" t="str">
        <f aca="false">IF(A10="","",ROUND(CandidateSignalQueue!N10/1,0))</f>
        <v/>
      </c>
      <c r="H10" s="7" t="str">
        <f aca="false">IF(A10="","",ROUND(CandidateSignalQueue!L10/1,0))</f>
        <v/>
      </c>
      <c r="I10" s="7" t="str">
        <f aca="false">IF(A10="","",IF(F10="Positive",1+(G10*0.08),1-(G10*0.08)))</f>
        <v/>
      </c>
      <c r="J10" s="7" t="str">
        <f aca="false">IF(A10="","",CandidateSignalQueue!P10)</f>
        <v/>
      </c>
      <c r="K10" s="7" t="str">
        <f aca="false">IF(A10="","",CandidateSignalQueue!Q10)</f>
        <v/>
      </c>
      <c r="L10" s="7" t="str">
        <f aca="false">IF(A10="","",IF(J10="CIOS→MIOS+OHOS","Brand Strategy + Medical + Training",IF(J10="CIOS→MIOS","Medical Strategy",IF(J10="CIOS→OHOS","Field Strategy / Training","CIOS Review"))))</f>
        <v/>
      </c>
      <c r="M10" s="7" t="str">
        <f aca="false">IF(A10="","",IF(CandidateSignalQueue!S10="Validate","Yes","No"))</f>
        <v/>
      </c>
    </row>
    <row r="11" customFormat="false" ht="19.5" hidden="false" customHeight="true" outlineLevel="0" collapsed="false">
      <c r="A11" s="1" t="n">
        <f aca="false">CandidateSignalQueue!A11</f>
        <v>0</v>
      </c>
      <c r="B11" s="1" t="n">
        <f aca="false">CandidateSignalQueue!E11</f>
        <v>0</v>
      </c>
      <c r="C11" s="1" t="n">
        <f aca="false">CandidateSignalQueue!G11</f>
        <v>0</v>
      </c>
      <c r="D11" s="7" t="str">
        <f aca="false">IF(A11="","",CandidateSignalQueue!H11)</f>
        <v/>
      </c>
      <c r="E11" s="1" t="str">
        <f aca="false">IF(A11="","",CandidateSignalQueue!I11)</f>
        <v/>
      </c>
      <c r="F11" s="1" t="str">
        <f aca="false">IF(A11="","",CandidateSignalQueue!J11)</f>
        <v/>
      </c>
      <c r="G11" s="7" t="str">
        <f aca="false">IF(A11="","",ROUND(CandidateSignalQueue!N11/1,0))</f>
        <v/>
      </c>
      <c r="H11" s="7" t="str">
        <f aca="false">IF(A11="","",ROUND(CandidateSignalQueue!L11/1,0))</f>
        <v/>
      </c>
      <c r="I11" s="7" t="str">
        <f aca="false">IF(A11="","",IF(F11="Positive",1+(G11*0.08),1-(G11*0.08)))</f>
        <v/>
      </c>
      <c r="J11" s="7" t="str">
        <f aca="false">IF(A11="","",CandidateSignalQueue!P11)</f>
        <v/>
      </c>
      <c r="K11" s="7" t="str">
        <f aca="false">IF(A11="","",CandidateSignalQueue!Q11)</f>
        <v/>
      </c>
      <c r="L11" s="7" t="str">
        <f aca="false">IF(A11="","",IF(J11="CIOS→MIOS+OHOS","Brand Strategy + Medical + Training",IF(J11="CIOS→MIOS","Medical Strategy",IF(J11="CIOS→OHOS","Field Strategy / Training","CIOS Review"))))</f>
        <v/>
      </c>
      <c r="M11" s="7" t="str">
        <f aca="false">IF(A11="","",IF(CandidateSignalQueue!S11="Validate","Yes","No"))</f>
        <v/>
      </c>
    </row>
    <row r="12" customFormat="false" ht="19.5" hidden="false" customHeight="true" outlineLevel="0" collapsed="false">
      <c r="A12" s="1" t="n">
        <f aca="false">CandidateSignalQueue!A12</f>
        <v>0</v>
      </c>
      <c r="B12" s="1" t="n">
        <f aca="false">CandidateSignalQueue!E12</f>
        <v>0</v>
      </c>
      <c r="C12" s="1" t="n">
        <f aca="false">CandidateSignalQueue!G12</f>
        <v>0</v>
      </c>
      <c r="D12" s="7" t="str">
        <f aca="false">IF(A12="","",CandidateSignalQueue!H12)</f>
        <v/>
      </c>
      <c r="E12" s="1" t="str">
        <f aca="false">IF(A12="","",CandidateSignalQueue!I12)</f>
        <v/>
      </c>
      <c r="F12" s="1" t="str">
        <f aca="false">IF(A12="","",CandidateSignalQueue!J12)</f>
        <v/>
      </c>
      <c r="G12" s="7" t="str">
        <f aca="false">IF(A12="","",ROUND(CandidateSignalQueue!N12/1,0))</f>
        <v/>
      </c>
      <c r="H12" s="7" t="str">
        <f aca="false">IF(A12="","",ROUND(CandidateSignalQueue!L12/1,0))</f>
        <v/>
      </c>
      <c r="I12" s="7" t="str">
        <f aca="false">IF(A12="","",IF(F12="Positive",1+(G12*0.08),1-(G12*0.08)))</f>
        <v/>
      </c>
      <c r="J12" s="7" t="str">
        <f aca="false">IF(A12="","",CandidateSignalQueue!P12)</f>
        <v/>
      </c>
      <c r="K12" s="7" t="str">
        <f aca="false">IF(A12="","",CandidateSignalQueue!Q12)</f>
        <v/>
      </c>
      <c r="L12" s="7" t="str">
        <f aca="false">IF(A12="","",IF(J12="CIOS→MIOS+OHOS","Brand Strategy + Medical + Training",IF(J12="CIOS→MIOS","Medical Strategy",IF(J12="CIOS→OHOS","Field Strategy / Training","CIOS Review"))))</f>
        <v/>
      </c>
      <c r="M12" s="7" t="str">
        <f aca="false">IF(A12="","",IF(CandidateSignalQueue!S12="Validate","Yes","No"))</f>
        <v/>
      </c>
    </row>
    <row r="13" customFormat="false" ht="19.5" hidden="false" customHeight="true" outlineLevel="0" collapsed="false">
      <c r="A13" s="1" t="n">
        <f aca="false">CandidateSignalQueue!A13</f>
        <v>0</v>
      </c>
      <c r="B13" s="1" t="n">
        <f aca="false">CandidateSignalQueue!E13</f>
        <v>0</v>
      </c>
      <c r="C13" s="1" t="n">
        <f aca="false">CandidateSignalQueue!G13</f>
        <v>0</v>
      </c>
      <c r="D13" s="7" t="str">
        <f aca="false">IF(A13="","",CandidateSignalQueue!H13)</f>
        <v/>
      </c>
      <c r="E13" s="1" t="str">
        <f aca="false">IF(A13="","",CandidateSignalQueue!I13)</f>
        <v/>
      </c>
      <c r="F13" s="1" t="str">
        <f aca="false">IF(A13="","",CandidateSignalQueue!J13)</f>
        <v/>
      </c>
      <c r="G13" s="7" t="str">
        <f aca="false">IF(A13="","",ROUND(CandidateSignalQueue!N13/1,0))</f>
        <v/>
      </c>
      <c r="H13" s="7" t="str">
        <f aca="false">IF(A13="","",ROUND(CandidateSignalQueue!L13/1,0))</f>
        <v/>
      </c>
      <c r="I13" s="7" t="str">
        <f aca="false">IF(A13="","",IF(F13="Positive",1+(G13*0.08),1-(G13*0.08)))</f>
        <v/>
      </c>
      <c r="J13" s="7" t="str">
        <f aca="false">IF(A13="","",CandidateSignalQueue!P13)</f>
        <v/>
      </c>
      <c r="K13" s="7" t="str">
        <f aca="false">IF(A13="","",CandidateSignalQueue!Q13)</f>
        <v/>
      </c>
      <c r="L13" s="7" t="str">
        <f aca="false">IF(A13="","",IF(J13="CIOS→MIOS+OHOS","Brand Strategy + Medical + Training",IF(J13="CIOS→MIOS","Medical Strategy",IF(J13="CIOS→OHOS","Field Strategy / Training","CIOS Review"))))</f>
        <v/>
      </c>
      <c r="M13" s="7" t="str">
        <f aca="false">IF(A13="","",IF(CandidateSignalQueue!S13="Validate","Yes","No"))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3" min="3" style="1" width="27"/>
    <col collapsed="false" customWidth="true" hidden="false" outlineLevel="0" max="8" min="4" style="1" width="26"/>
    <col collapsed="false" customWidth="true" hidden="false" outlineLevel="0" max="9" min="9" style="1" width="20"/>
    <col collapsed="false" customWidth="true" hidden="false" outlineLevel="0" max="12" min="10" style="1" width="34"/>
    <col collapsed="false" customWidth="true" hidden="false" outlineLevel="0" max="13" min="13" style="1" width="10"/>
  </cols>
  <sheetData>
    <row r="1" customFormat="false" ht="19.5" hidden="false" customHeight="true" outlineLevel="0" collapsed="false">
      <c r="A1" s="9" t="s">
        <v>398</v>
      </c>
    </row>
    <row r="2" customFormat="false" ht="19.5" hidden="false" customHeight="true" outlineLevel="0" collapsed="false"/>
    <row r="3" customFormat="false" ht="19.5" hidden="false" customHeight="true" outlineLevel="0" collapsed="false">
      <c r="A3" s="2" t="s">
        <v>359</v>
      </c>
      <c r="B3" s="2" t="s">
        <v>362</v>
      </c>
      <c r="C3" s="2" t="s">
        <v>399</v>
      </c>
      <c r="D3" s="2" t="s">
        <v>93</v>
      </c>
      <c r="E3" s="2" t="s">
        <v>2</v>
      </c>
      <c r="F3" s="2" t="s">
        <v>37</v>
      </c>
      <c r="G3" s="2" t="s">
        <v>393</v>
      </c>
      <c r="H3" s="2" t="s">
        <v>397</v>
      </c>
      <c r="I3" s="2" t="s">
        <v>400</v>
      </c>
      <c r="J3" s="2" t="s">
        <v>401</v>
      </c>
      <c r="K3" s="2" t="s">
        <v>402</v>
      </c>
      <c r="L3" s="2" t="s">
        <v>403</v>
      </c>
      <c r="M3" s="2" t="s">
        <v>404</v>
      </c>
    </row>
    <row r="4" customFormat="false" ht="19.5" hidden="false" customHeight="true" outlineLevel="0" collapsed="false">
      <c r="A4" s="7" t="str">
        <f aca="false">SignalNormalization!A4</f>
        <v>CS-001</v>
      </c>
      <c r="B4" s="7" t="str">
        <f aca="false">SignalNormalization!C4</f>
        <v>New publication emphasizes patient-relevant outcomes linkage</v>
      </c>
      <c r="C4" s="7" t="n">
        <f aca="false">CandidateSignalQueue!O4</f>
        <v>15</v>
      </c>
      <c r="D4" s="7" t="str">
        <f aca="false">SignalNormalization!J4</f>
        <v>CIOS→MIOS</v>
      </c>
      <c r="E4" s="7" t="str">
        <f aca="false">SignalNormalization!E4</f>
        <v>Clinical evidence</v>
      </c>
      <c r="F4" s="7" t="str">
        <f aca="false">SignalNormalization!F4</f>
        <v>Positive</v>
      </c>
      <c r="G4" s="7" t="n">
        <f aca="false">SignalNormalization!I4</f>
        <v>1.32</v>
      </c>
      <c r="H4" s="7" t="str">
        <f aca="false">SignalNormalization!M4</f>
        <v>No</v>
      </c>
      <c r="I4" s="6"/>
      <c r="J4" s="7" t="str">
        <f aca="false">IF(I4="Approve","SIG-AUTO-"&amp;TEXT(ROW()-3,"000"),"")</f>
        <v/>
      </c>
      <c r="K4" s="7" t="str">
        <f aca="false">IF(I4="Approve",IF(OR(D4="CIOS→MIOS",D4="CIOS→MIOS+OHOS"),"Yes","No"),"")</f>
        <v/>
      </c>
      <c r="L4" s="7" t="str">
        <f aca="false">IF(I4="Approve",IF(OR(D4="CIOS→OHOS",D4="CIOS→MIOS+OHOS"),"Yes","No"),"")</f>
        <v/>
      </c>
      <c r="M4" s="6"/>
    </row>
    <row r="5" customFormat="false" ht="19.5" hidden="false" customHeight="true" outlineLevel="0" collapsed="false">
      <c r="A5" s="7" t="str">
        <f aca="false">SignalNormalization!A5</f>
        <v>CS-002</v>
      </c>
      <c r="B5" s="7" t="str">
        <f aca="false">SignalNormalization!C5</f>
        <v>Community pulmonologists still unclear on patient-fit</v>
      </c>
      <c r="C5" s="7" t="n">
        <f aca="false">CandidateSignalQueue!O5</f>
        <v>16</v>
      </c>
      <c r="D5" s="7" t="str">
        <f aca="false">SignalNormalization!J5</f>
        <v>CIOS→MIOS+OHOS</v>
      </c>
      <c r="E5" s="7" t="str">
        <f aca="false">SignalNormalization!E5</f>
        <v>Field intelligence</v>
      </c>
      <c r="F5" s="7" t="str">
        <f aca="false">SignalNormalization!F5</f>
        <v>Negative</v>
      </c>
      <c r="G5" s="7" t="n">
        <f aca="false">SignalNormalization!I5</f>
        <v>0.68</v>
      </c>
      <c r="H5" s="7" t="str">
        <f aca="false">SignalNormalization!M5</f>
        <v>No</v>
      </c>
      <c r="I5" s="6"/>
      <c r="J5" s="7" t="str">
        <f aca="false">IF(I5="Approve","SIG-AUTO-"&amp;TEXT(ROW()-3,"000"),"")</f>
        <v/>
      </c>
      <c r="K5" s="7" t="str">
        <f aca="false">IF(I5="Approve",IF(OR(D5="CIOS→MIOS",D5="CIOS→MIOS+OHOS"),"Yes","No"),"")</f>
        <v/>
      </c>
      <c r="L5" s="7" t="str">
        <f aca="false">IF(I5="Approve",IF(OR(D5="CIOS→OHOS",D5="CIOS→MIOS+OHOS"),"Yes","No"),"")</f>
        <v/>
      </c>
      <c r="M5" s="6"/>
    </row>
    <row r="6" customFormat="false" ht="19.5" hidden="false" customHeight="true" outlineLevel="0" collapsed="false">
      <c r="A6" s="7" t="str">
        <f aca="false">SignalNormalization!A6</f>
        <v>CS-003</v>
      </c>
      <c r="B6" s="7" t="str">
        <f aca="false">SignalNormalization!C6</f>
        <v>Coverage update may lower access friction in selected plans</v>
      </c>
      <c r="C6" s="7" t="n">
        <f aca="false">CandidateSignalQueue!O6</f>
        <v>14</v>
      </c>
      <c r="D6" s="7" t="str">
        <f aca="false">SignalNormalization!J6</f>
        <v>CIOS→OHOS</v>
      </c>
      <c r="E6" s="7" t="str">
        <f aca="false">SignalNormalization!E6</f>
        <v>Access / commercial</v>
      </c>
      <c r="F6" s="7" t="str">
        <f aca="false">SignalNormalization!F6</f>
        <v>Positive</v>
      </c>
      <c r="G6" s="7" t="n">
        <f aca="false">SignalNormalization!I6</f>
        <v>1.4</v>
      </c>
      <c r="H6" s="7" t="str">
        <f aca="false">SignalNormalization!M6</f>
        <v>No</v>
      </c>
      <c r="I6" s="6"/>
      <c r="J6" s="7" t="str">
        <f aca="false">IF(I6="Approve","SIG-AUTO-"&amp;TEXT(ROW()-3,"000"),"")</f>
        <v/>
      </c>
      <c r="K6" s="7" t="str">
        <f aca="false">IF(I6="Approve",IF(OR(D6="CIOS→MIOS",D6="CIOS→MIOS+OHOS"),"Yes","No"),"")</f>
        <v/>
      </c>
      <c r="L6" s="7" t="str">
        <f aca="false">IF(I6="Approve",IF(OR(D6="CIOS→OHOS",D6="CIOS→MIOS+OHOS"),"Yes","No"),"")</f>
        <v/>
      </c>
      <c r="M6" s="6"/>
    </row>
    <row r="7" customFormat="false" ht="19.5" hidden="false" customHeight="true" outlineLevel="0" collapsed="false">
      <c r="A7" s="7" t="n">
        <f aca="false">SignalNormalization!A7</f>
        <v>0</v>
      </c>
      <c r="B7" s="7" t="n">
        <f aca="false">SignalNormalization!C7</f>
        <v>0</v>
      </c>
      <c r="C7" s="7" t="n">
        <f aca="false">CandidateSignalQueue!O7</f>
        <v>0</v>
      </c>
      <c r="D7" s="7" t="str">
        <f aca="false">SignalNormalization!J7</f>
        <v/>
      </c>
      <c r="E7" s="7" t="str">
        <f aca="false">SignalNormalization!E7</f>
        <v/>
      </c>
      <c r="F7" s="7" t="str">
        <f aca="false">SignalNormalization!F7</f>
        <v/>
      </c>
      <c r="G7" s="7" t="str">
        <f aca="false">SignalNormalization!I7</f>
        <v/>
      </c>
      <c r="H7" s="7" t="str">
        <f aca="false">SignalNormalization!M7</f>
        <v/>
      </c>
      <c r="I7" s="6"/>
      <c r="J7" s="7" t="str">
        <f aca="false">IF(I7="Approve","SIG-AUTO-"&amp;TEXT(ROW()-3,"000"),"")</f>
        <v/>
      </c>
      <c r="K7" s="7" t="str">
        <f aca="false">IF(I7="Approve",IF(OR(D7="CIOS→MIOS",D7="CIOS→MIOS+OHOS"),"Yes","No"),"")</f>
        <v/>
      </c>
      <c r="L7" s="7" t="str">
        <f aca="false">IF(I7="Approve",IF(OR(D7="CIOS→OHOS",D7="CIOS→MIOS+OHOS"),"Yes","No"),"")</f>
        <v/>
      </c>
      <c r="M7" s="6"/>
    </row>
    <row r="8" customFormat="false" ht="19.5" hidden="false" customHeight="true" outlineLevel="0" collapsed="false">
      <c r="A8" s="7" t="n">
        <f aca="false">SignalNormalization!A8</f>
        <v>0</v>
      </c>
      <c r="B8" s="7" t="n">
        <f aca="false">SignalNormalization!C8</f>
        <v>0</v>
      </c>
      <c r="C8" s="7" t="n">
        <f aca="false">CandidateSignalQueue!O8</f>
        <v>0</v>
      </c>
      <c r="D8" s="7" t="str">
        <f aca="false">SignalNormalization!J8</f>
        <v/>
      </c>
      <c r="E8" s="7" t="str">
        <f aca="false">SignalNormalization!E8</f>
        <v/>
      </c>
      <c r="F8" s="7" t="str">
        <f aca="false">SignalNormalization!F8</f>
        <v/>
      </c>
      <c r="G8" s="7" t="str">
        <f aca="false">SignalNormalization!I8</f>
        <v/>
      </c>
      <c r="H8" s="7" t="str">
        <f aca="false">SignalNormalization!M8</f>
        <v/>
      </c>
      <c r="I8" s="6"/>
      <c r="J8" s="7" t="str">
        <f aca="false">IF(I8="Approve","SIG-AUTO-"&amp;TEXT(ROW()-3,"000"),"")</f>
        <v/>
      </c>
      <c r="K8" s="7" t="str">
        <f aca="false">IF(I8="Approve",IF(OR(D8="CIOS→MIOS",D8="CIOS→MIOS+OHOS"),"Yes","No"),"")</f>
        <v/>
      </c>
      <c r="L8" s="7" t="str">
        <f aca="false">IF(I8="Approve",IF(OR(D8="CIOS→OHOS",D8="CIOS→MIOS+OHOS"),"Yes","No"),"")</f>
        <v/>
      </c>
      <c r="M8" s="6"/>
    </row>
    <row r="9" customFormat="false" ht="19.5" hidden="false" customHeight="true" outlineLevel="0" collapsed="false">
      <c r="A9" s="7" t="n">
        <f aca="false">SignalNormalization!A9</f>
        <v>0</v>
      </c>
      <c r="B9" s="7" t="n">
        <f aca="false">SignalNormalization!C9</f>
        <v>0</v>
      </c>
      <c r="C9" s="7" t="n">
        <f aca="false">CandidateSignalQueue!O9</f>
        <v>0</v>
      </c>
      <c r="D9" s="7" t="str">
        <f aca="false">SignalNormalization!J9</f>
        <v/>
      </c>
      <c r="E9" s="7" t="str">
        <f aca="false">SignalNormalization!E9</f>
        <v/>
      </c>
      <c r="F9" s="7" t="str">
        <f aca="false">SignalNormalization!F9</f>
        <v/>
      </c>
      <c r="G9" s="7" t="str">
        <f aca="false">SignalNormalization!I9</f>
        <v/>
      </c>
      <c r="H9" s="7" t="str">
        <f aca="false">SignalNormalization!M9</f>
        <v/>
      </c>
      <c r="I9" s="6"/>
      <c r="J9" s="7" t="str">
        <f aca="false">IF(I9="Approve","SIG-AUTO-"&amp;TEXT(ROW()-3,"000"),"")</f>
        <v/>
      </c>
      <c r="K9" s="7" t="str">
        <f aca="false">IF(I9="Approve",IF(OR(D9="CIOS→MIOS",D9="CIOS→MIOS+OHOS"),"Yes","No"),"")</f>
        <v/>
      </c>
      <c r="L9" s="7" t="str">
        <f aca="false">IF(I9="Approve",IF(OR(D9="CIOS→OHOS",D9="CIOS→MIOS+OHOS"),"Yes","No"),"")</f>
        <v/>
      </c>
      <c r="M9" s="6"/>
    </row>
    <row r="10" customFormat="false" ht="19.5" hidden="false" customHeight="true" outlineLevel="0" collapsed="false">
      <c r="A10" s="7" t="n">
        <f aca="false">SignalNormalization!A10</f>
        <v>0</v>
      </c>
      <c r="B10" s="7" t="n">
        <f aca="false">SignalNormalization!C10</f>
        <v>0</v>
      </c>
      <c r="C10" s="7" t="n">
        <f aca="false">CandidateSignalQueue!O10</f>
        <v>0</v>
      </c>
      <c r="D10" s="7" t="str">
        <f aca="false">SignalNormalization!J10</f>
        <v/>
      </c>
      <c r="E10" s="7" t="str">
        <f aca="false">SignalNormalization!E10</f>
        <v/>
      </c>
      <c r="F10" s="7" t="str">
        <f aca="false">SignalNormalization!F10</f>
        <v/>
      </c>
      <c r="G10" s="7" t="str">
        <f aca="false">SignalNormalization!I10</f>
        <v/>
      </c>
      <c r="H10" s="7" t="str">
        <f aca="false">SignalNormalization!M10</f>
        <v/>
      </c>
      <c r="I10" s="6"/>
      <c r="J10" s="7" t="str">
        <f aca="false">IF(I10="Approve","SIG-AUTO-"&amp;TEXT(ROW()-3,"000"),"")</f>
        <v/>
      </c>
      <c r="K10" s="7" t="str">
        <f aca="false">IF(I10="Approve",IF(OR(D10="CIOS→MIOS",D10="CIOS→MIOS+OHOS"),"Yes","No"),"")</f>
        <v/>
      </c>
      <c r="L10" s="7" t="str">
        <f aca="false">IF(I10="Approve",IF(OR(D10="CIOS→OHOS",D10="CIOS→MIOS+OHOS"),"Yes","No"),"")</f>
        <v/>
      </c>
      <c r="M10" s="6"/>
    </row>
    <row r="11" customFormat="false" ht="19.5" hidden="false" customHeight="true" outlineLevel="0" collapsed="false">
      <c r="A11" s="7" t="n">
        <f aca="false">SignalNormalization!A11</f>
        <v>0</v>
      </c>
      <c r="B11" s="7" t="n">
        <f aca="false">SignalNormalization!C11</f>
        <v>0</v>
      </c>
      <c r="C11" s="7" t="n">
        <f aca="false">CandidateSignalQueue!O11</f>
        <v>0</v>
      </c>
      <c r="D11" s="7" t="str">
        <f aca="false">SignalNormalization!J11</f>
        <v/>
      </c>
      <c r="E11" s="7" t="str">
        <f aca="false">SignalNormalization!E11</f>
        <v/>
      </c>
      <c r="F11" s="7" t="str">
        <f aca="false">SignalNormalization!F11</f>
        <v/>
      </c>
      <c r="G11" s="7" t="str">
        <f aca="false">SignalNormalization!I11</f>
        <v/>
      </c>
      <c r="H11" s="7" t="str">
        <f aca="false">SignalNormalization!M11</f>
        <v/>
      </c>
      <c r="I11" s="6"/>
      <c r="J11" s="7" t="str">
        <f aca="false">IF(I11="Approve","SIG-AUTO-"&amp;TEXT(ROW()-3,"000"),"")</f>
        <v/>
      </c>
      <c r="K11" s="7" t="str">
        <f aca="false">IF(I11="Approve",IF(OR(D11="CIOS→MIOS",D11="CIOS→MIOS+OHOS"),"Yes","No"),"")</f>
        <v/>
      </c>
      <c r="L11" s="7" t="str">
        <f aca="false">IF(I11="Approve",IF(OR(D11="CIOS→OHOS",D11="CIOS→MIOS+OHOS"),"Yes","No"),"")</f>
        <v/>
      </c>
      <c r="M11" s="6"/>
    </row>
    <row r="12" customFormat="false" ht="19.5" hidden="false" customHeight="true" outlineLevel="0" collapsed="false">
      <c r="A12" s="7" t="n">
        <f aca="false">SignalNormalization!A12</f>
        <v>0</v>
      </c>
      <c r="B12" s="7" t="n">
        <f aca="false">SignalNormalization!C12</f>
        <v>0</v>
      </c>
      <c r="C12" s="7" t="n">
        <f aca="false">CandidateSignalQueue!O12</f>
        <v>0</v>
      </c>
      <c r="D12" s="7" t="str">
        <f aca="false">SignalNormalization!J12</f>
        <v/>
      </c>
      <c r="E12" s="7" t="str">
        <f aca="false">SignalNormalization!E12</f>
        <v/>
      </c>
      <c r="F12" s="7" t="str">
        <f aca="false">SignalNormalization!F12</f>
        <v/>
      </c>
      <c r="G12" s="7" t="str">
        <f aca="false">SignalNormalization!I12</f>
        <v/>
      </c>
      <c r="H12" s="7" t="str">
        <f aca="false">SignalNormalization!M12</f>
        <v/>
      </c>
      <c r="I12" s="6"/>
      <c r="J12" s="7" t="str">
        <f aca="false">IF(I12="Approve","SIG-AUTO-"&amp;TEXT(ROW()-3,"000"),"")</f>
        <v/>
      </c>
      <c r="K12" s="7" t="str">
        <f aca="false">IF(I12="Approve",IF(OR(D12="CIOS→MIOS",D12="CIOS→MIOS+OHOS"),"Yes","No"),"")</f>
        <v/>
      </c>
      <c r="L12" s="7" t="str">
        <f aca="false">IF(I12="Approve",IF(OR(D12="CIOS→OHOS",D12="CIOS→MIOS+OHOS"),"Yes","No"),"")</f>
        <v/>
      </c>
      <c r="M12" s="6"/>
    </row>
    <row r="13" customFormat="false" ht="19.5" hidden="false" customHeight="true" outlineLevel="0" collapsed="false">
      <c r="A13" s="7" t="n">
        <f aca="false">SignalNormalization!A13</f>
        <v>0</v>
      </c>
      <c r="B13" s="7" t="n">
        <f aca="false">SignalNormalization!C13</f>
        <v>0</v>
      </c>
      <c r="C13" s="7" t="n">
        <f aca="false">CandidateSignalQueue!O13</f>
        <v>0</v>
      </c>
      <c r="D13" s="7" t="str">
        <f aca="false">SignalNormalization!J13</f>
        <v/>
      </c>
      <c r="E13" s="7" t="str">
        <f aca="false">SignalNormalization!E13</f>
        <v/>
      </c>
      <c r="F13" s="7" t="str">
        <f aca="false">SignalNormalization!F13</f>
        <v/>
      </c>
      <c r="G13" s="7" t="str">
        <f aca="false">SignalNormalization!I13</f>
        <v/>
      </c>
      <c r="H13" s="7" t="str">
        <f aca="false">SignalNormalization!M13</f>
        <v/>
      </c>
      <c r="I13" s="6"/>
      <c r="J13" s="7" t="str">
        <f aca="false">IF(I13="Approve","SIG-AUTO-"&amp;TEXT(ROW()-3,"000"),"")</f>
        <v/>
      </c>
      <c r="K13" s="7" t="str">
        <f aca="false">IF(I13="Approve",IF(OR(D13="CIOS→MIOS",D13="CIOS→MIOS+OHOS"),"Yes","No"),"")</f>
        <v/>
      </c>
      <c r="L13" s="7" t="str">
        <f aca="false">IF(I13="Approve",IF(OR(D13="CIOS→OHOS",D13="CIOS→MIOS+OHOS"),"Yes","No"),"")</f>
        <v/>
      </c>
      <c r="M13" s="6"/>
    </row>
  </sheetData>
  <dataValidations count="1">
    <dataValidation allowBlank="true" errorStyle="stop" operator="equal" showDropDown="false" showErrorMessage="false" showInputMessage="false" sqref="I4:I200" type="list">
      <formula1>"Approve,Reject,Escalate,Hold"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26"/>
    <col collapsed="false" customWidth="true" hidden="false" outlineLevel="0" max="14" min="14" style="1" width="23"/>
  </cols>
  <sheetData>
    <row r="1" customFormat="false" ht="19.5" hidden="false" customHeight="true" outlineLevel="0" collapsed="false">
      <c r="A1" s="9" t="s">
        <v>405</v>
      </c>
    </row>
    <row r="2" customFormat="false" ht="19.5" hidden="false" customHeight="true" outlineLevel="0" collapsed="false"/>
    <row r="3" customFormat="false" ht="19.5" hidden="false" customHeight="true" outlineLevel="0" collapsed="false">
      <c r="A3" s="2" t="s">
        <v>401</v>
      </c>
      <c r="B3" s="2" t="s">
        <v>359</v>
      </c>
      <c r="C3" s="2" t="s">
        <v>73</v>
      </c>
      <c r="D3" s="2" t="s">
        <v>36</v>
      </c>
      <c r="E3" s="2" t="s">
        <v>2</v>
      </c>
      <c r="F3" s="2" t="s">
        <v>37</v>
      </c>
      <c r="G3" s="2" t="s">
        <v>406</v>
      </c>
      <c r="H3" s="2" t="s">
        <v>407</v>
      </c>
      <c r="I3" s="2" t="s">
        <v>393</v>
      </c>
      <c r="J3" s="2" t="s">
        <v>408</v>
      </c>
      <c r="K3" s="2" t="s">
        <v>395</v>
      </c>
      <c r="L3" s="2" t="s">
        <v>409</v>
      </c>
      <c r="M3" s="2" t="s">
        <v>410</v>
      </c>
      <c r="N3" s="2" t="s">
        <v>411</v>
      </c>
    </row>
    <row r="4" customFormat="false" ht="19.5" hidden="false" customHeight="true" outlineLevel="0" collapsed="false">
      <c r="A4" s="7" t="str">
        <f aca="false">IF(ValidationWorkbench!I4="Approve",ValidationWorkbench!J4,"")</f>
        <v/>
      </c>
      <c r="B4" s="7" t="str">
        <f aca="false">ValidationWorkbench!A4</f>
        <v>CS-001</v>
      </c>
      <c r="C4" s="7" t="str">
        <f aca="false">SignalNormalization!B4</f>
        <v>ARIKAYCE</v>
      </c>
      <c r="D4" s="7" t="str">
        <f aca="false">SignalNormalization!D4</f>
        <v>A new publication appears to strengthen the bridge between microbiology and function.</v>
      </c>
      <c r="E4" s="7" t="str">
        <f aca="false">SignalNormalization!E4</f>
        <v>Clinical evidence</v>
      </c>
      <c r="F4" s="7" t="str">
        <f aca="false">SignalNormalization!F4</f>
        <v>Positive</v>
      </c>
      <c r="G4" s="7" t="n">
        <f aca="false">SignalNormalization!G4</f>
        <v>4</v>
      </c>
      <c r="H4" s="7" t="n">
        <f aca="false">SignalNormalization!H4</f>
        <v>5</v>
      </c>
      <c r="I4" s="7" t="n">
        <f aca="false">SignalNormalization!I4</f>
        <v>1.32</v>
      </c>
      <c r="J4" s="7" t="str">
        <f aca="false">SignalNormalization!J4</f>
        <v>CIOS→MIOS</v>
      </c>
      <c r="K4" s="7" t="str">
        <f aca="false">SignalNormalization!K4</f>
        <v>Pulmonology / NTM-focused</v>
      </c>
      <c r="L4" s="7" t="str">
        <f aca="false">ValidationWorkbench!K4</f>
        <v/>
      </c>
      <c r="M4" s="7" t="str">
        <f aca="false">ValidationWorkbench!L4</f>
        <v/>
      </c>
      <c r="N4" s="7" t="str">
        <f aca="false">IF(A4&lt;&gt;"","Yes","")</f>
        <v/>
      </c>
    </row>
    <row r="5" customFormat="false" ht="19.5" hidden="false" customHeight="true" outlineLevel="0" collapsed="false">
      <c r="A5" s="7" t="str">
        <f aca="false">IF(ValidationWorkbench!I5="Approve",ValidationWorkbench!J5,"")</f>
        <v/>
      </c>
      <c r="B5" s="7" t="str">
        <f aca="false">ValidationWorkbench!A5</f>
        <v>CS-002</v>
      </c>
      <c r="C5" s="7" t="str">
        <f aca="false">SignalNormalization!B5</f>
        <v>ARIKAYCE</v>
      </c>
      <c r="D5" s="7" t="str">
        <f aca="false">SignalNormalization!D5</f>
        <v>Multiple accounts continue to ask for a simpler identification and referral story.</v>
      </c>
      <c r="E5" s="7" t="str">
        <f aca="false">SignalNormalization!E5</f>
        <v>Field intelligence</v>
      </c>
      <c r="F5" s="7" t="str">
        <f aca="false">SignalNormalization!F5</f>
        <v>Negative</v>
      </c>
      <c r="G5" s="7" t="n">
        <f aca="false">SignalNormalization!G5</f>
        <v>4</v>
      </c>
      <c r="H5" s="7" t="n">
        <f aca="false">SignalNormalization!H5</f>
        <v>4</v>
      </c>
      <c r="I5" s="7" t="n">
        <f aca="false">SignalNormalization!I5</f>
        <v>0.68</v>
      </c>
      <c r="J5" s="7" t="str">
        <f aca="false">SignalNormalization!J5</f>
        <v>CIOS→MIOS+OHOS</v>
      </c>
      <c r="K5" s="7" t="str">
        <f aca="false">SignalNormalization!K5</f>
        <v>Pulmonology / community</v>
      </c>
      <c r="L5" s="7" t="str">
        <f aca="false">ValidationWorkbench!K5</f>
        <v/>
      </c>
      <c r="M5" s="7" t="str">
        <f aca="false">ValidationWorkbench!L5</f>
        <v/>
      </c>
      <c r="N5" s="7" t="str">
        <f aca="false">IF(A5&lt;&gt;"","Yes","")</f>
        <v/>
      </c>
    </row>
    <row r="6" customFormat="false" ht="19.5" hidden="false" customHeight="true" outlineLevel="0" collapsed="false">
      <c r="A6" s="7" t="str">
        <f aca="false">IF(ValidationWorkbench!I6="Approve",ValidationWorkbench!J6,"")</f>
        <v/>
      </c>
      <c r="B6" s="7" t="str">
        <f aca="false">ValidationWorkbench!A6</f>
        <v>CS-003</v>
      </c>
      <c r="C6" s="7" t="str">
        <f aca="false">SignalNormalization!B6</f>
        <v>ARIKAYCE</v>
      </c>
      <c r="D6" s="7" t="str">
        <f aca="false">SignalNormalization!D6</f>
        <v>Emerging coverage shift could reduce reimbursement obstacles in target accounts.</v>
      </c>
      <c r="E6" s="7" t="str">
        <f aca="false">SignalNormalization!E6</f>
        <v>Access / commercial</v>
      </c>
      <c r="F6" s="7" t="str">
        <f aca="false">SignalNormalization!F6</f>
        <v>Positive</v>
      </c>
      <c r="G6" s="7" t="n">
        <f aca="false">SignalNormalization!G6</f>
        <v>5</v>
      </c>
      <c r="H6" s="7" t="n">
        <f aca="false">SignalNormalization!H6</f>
        <v>4</v>
      </c>
      <c r="I6" s="7" t="n">
        <f aca="false">SignalNormalization!I6</f>
        <v>1.4</v>
      </c>
      <c r="J6" s="7" t="str">
        <f aca="false">SignalNormalization!J6</f>
        <v>CIOS→OHOS</v>
      </c>
      <c r="K6" s="7" t="str">
        <f aca="false">SignalNormalization!K6</f>
        <v>Pulmonology / general</v>
      </c>
      <c r="L6" s="7" t="str">
        <f aca="false">ValidationWorkbench!K6</f>
        <v/>
      </c>
      <c r="M6" s="7" t="str">
        <f aca="false">ValidationWorkbench!L6</f>
        <v/>
      </c>
      <c r="N6" s="7" t="str">
        <f aca="false">IF(A6&lt;&gt;"","Yes","")</f>
        <v/>
      </c>
    </row>
    <row r="7" customFormat="false" ht="19.5" hidden="false" customHeight="true" outlineLevel="0" collapsed="false">
      <c r="A7" s="7" t="str">
        <f aca="false">IF(ValidationWorkbench!I7="Approve",ValidationWorkbench!J7,"")</f>
        <v/>
      </c>
      <c r="B7" s="7" t="n">
        <f aca="false">ValidationWorkbench!A7</f>
        <v>0</v>
      </c>
      <c r="C7" s="7" t="n">
        <f aca="false">SignalNormalization!B7</f>
        <v>0</v>
      </c>
      <c r="D7" s="7" t="str">
        <f aca="false">SignalNormalization!D7</f>
        <v/>
      </c>
      <c r="E7" s="7" t="str">
        <f aca="false">SignalNormalization!E7</f>
        <v/>
      </c>
      <c r="F7" s="7" t="str">
        <f aca="false">SignalNormalization!F7</f>
        <v/>
      </c>
      <c r="G7" s="7" t="str">
        <f aca="false">SignalNormalization!G7</f>
        <v/>
      </c>
      <c r="H7" s="7" t="str">
        <f aca="false">SignalNormalization!H7</f>
        <v/>
      </c>
      <c r="I7" s="7" t="str">
        <f aca="false">SignalNormalization!I7</f>
        <v/>
      </c>
      <c r="J7" s="7" t="str">
        <f aca="false">SignalNormalization!J7</f>
        <v/>
      </c>
      <c r="K7" s="7" t="str">
        <f aca="false">SignalNormalization!K7</f>
        <v/>
      </c>
      <c r="L7" s="7" t="str">
        <f aca="false">ValidationWorkbench!K7</f>
        <v/>
      </c>
      <c r="M7" s="7" t="str">
        <f aca="false">ValidationWorkbench!L7</f>
        <v/>
      </c>
      <c r="N7" s="7" t="str">
        <f aca="false">IF(A7&lt;&gt;"","Yes","")</f>
        <v/>
      </c>
    </row>
    <row r="8" customFormat="false" ht="19.5" hidden="false" customHeight="true" outlineLevel="0" collapsed="false">
      <c r="A8" s="7" t="str">
        <f aca="false">IF(ValidationWorkbench!I8="Approve",ValidationWorkbench!J8,"")</f>
        <v/>
      </c>
      <c r="B8" s="7" t="n">
        <f aca="false">ValidationWorkbench!A8</f>
        <v>0</v>
      </c>
      <c r="C8" s="7" t="n">
        <f aca="false">SignalNormalization!B8</f>
        <v>0</v>
      </c>
      <c r="D8" s="7" t="str">
        <f aca="false">SignalNormalization!D8</f>
        <v/>
      </c>
      <c r="E8" s="7" t="str">
        <f aca="false">SignalNormalization!E8</f>
        <v/>
      </c>
      <c r="F8" s="7" t="str">
        <f aca="false">SignalNormalization!F8</f>
        <v/>
      </c>
      <c r="G8" s="7" t="str">
        <f aca="false">SignalNormalization!G8</f>
        <v/>
      </c>
      <c r="H8" s="7" t="str">
        <f aca="false">SignalNormalization!H8</f>
        <v/>
      </c>
      <c r="I8" s="7" t="str">
        <f aca="false">SignalNormalization!I8</f>
        <v/>
      </c>
      <c r="J8" s="7" t="str">
        <f aca="false">SignalNormalization!J8</f>
        <v/>
      </c>
      <c r="K8" s="7" t="str">
        <f aca="false">SignalNormalization!K8</f>
        <v/>
      </c>
      <c r="L8" s="7" t="str">
        <f aca="false">ValidationWorkbench!K8</f>
        <v/>
      </c>
      <c r="M8" s="7" t="str">
        <f aca="false">ValidationWorkbench!L8</f>
        <v/>
      </c>
      <c r="N8" s="7" t="str">
        <f aca="false">IF(A8&lt;&gt;"","Yes","")</f>
        <v/>
      </c>
    </row>
    <row r="9" customFormat="false" ht="19.5" hidden="false" customHeight="true" outlineLevel="0" collapsed="false">
      <c r="A9" s="7" t="str">
        <f aca="false">IF(ValidationWorkbench!I9="Approve",ValidationWorkbench!J9,"")</f>
        <v/>
      </c>
      <c r="B9" s="7" t="n">
        <f aca="false">ValidationWorkbench!A9</f>
        <v>0</v>
      </c>
      <c r="C9" s="7" t="n">
        <f aca="false">SignalNormalization!B9</f>
        <v>0</v>
      </c>
      <c r="D9" s="7" t="str">
        <f aca="false">SignalNormalization!D9</f>
        <v/>
      </c>
      <c r="E9" s="7" t="str">
        <f aca="false">SignalNormalization!E9</f>
        <v/>
      </c>
      <c r="F9" s="7" t="str">
        <f aca="false">SignalNormalization!F9</f>
        <v/>
      </c>
      <c r="G9" s="7" t="str">
        <f aca="false">SignalNormalization!G9</f>
        <v/>
      </c>
      <c r="H9" s="7" t="str">
        <f aca="false">SignalNormalization!H9</f>
        <v/>
      </c>
      <c r="I9" s="7" t="str">
        <f aca="false">SignalNormalization!I9</f>
        <v/>
      </c>
      <c r="J9" s="7" t="str">
        <f aca="false">SignalNormalization!J9</f>
        <v/>
      </c>
      <c r="K9" s="7" t="str">
        <f aca="false">SignalNormalization!K9</f>
        <v/>
      </c>
      <c r="L9" s="7" t="str">
        <f aca="false">ValidationWorkbench!K9</f>
        <v/>
      </c>
      <c r="M9" s="7" t="str">
        <f aca="false">ValidationWorkbench!L9</f>
        <v/>
      </c>
      <c r="N9" s="7" t="str">
        <f aca="false">IF(A9&lt;&gt;"","Yes","")</f>
        <v/>
      </c>
    </row>
    <row r="10" customFormat="false" ht="19.5" hidden="false" customHeight="true" outlineLevel="0" collapsed="false">
      <c r="A10" s="7" t="str">
        <f aca="false">IF(ValidationWorkbench!I10="Approve",ValidationWorkbench!J10,"")</f>
        <v/>
      </c>
      <c r="B10" s="7" t="n">
        <f aca="false">ValidationWorkbench!A10</f>
        <v>0</v>
      </c>
      <c r="C10" s="7" t="n">
        <f aca="false">SignalNormalization!B10</f>
        <v>0</v>
      </c>
      <c r="D10" s="7" t="str">
        <f aca="false">SignalNormalization!D10</f>
        <v/>
      </c>
      <c r="E10" s="7" t="str">
        <f aca="false">SignalNormalization!E10</f>
        <v/>
      </c>
      <c r="F10" s="7" t="str">
        <f aca="false">SignalNormalization!F10</f>
        <v/>
      </c>
      <c r="G10" s="7" t="str">
        <f aca="false">SignalNormalization!G10</f>
        <v/>
      </c>
      <c r="H10" s="7" t="str">
        <f aca="false">SignalNormalization!H10</f>
        <v/>
      </c>
      <c r="I10" s="7" t="str">
        <f aca="false">SignalNormalization!I10</f>
        <v/>
      </c>
      <c r="J10" s="7" t="str">
        <f aca="false">SignalNormalization!J10</f>
        <v/>
      </c>
      <c r="K10" s="7" t="str">
        <f aca="false">SignalNormalization!K10</f>
        <v/>
      </c>
      <c r="L10" s="7" t="str">
        <f aca="false">ValidationWorkbench!K10</f>
        <v/>
      </c>
      <c r="M10" s="7" t="str">
        <f aca="false">ValidationWorkbench!L10</f>
        <v/>
      </c>
      <c r="N10" s="7" t="str">
        <f aca="false">IF(A10&lt;&gt;"","Yes","")</f>
        <v/>
      </c>
    </row>
    <row r="11" customFormat="false" ht="19.5" hidden="false" customHeight="true" outlineLevel="0" collapsed="false">
      <c r="A11" s="7" t="str">
        <f aca="false">IF(ValidationWorkbench!I11="Approve",ValidationWorkbench!J11,"")</f>
        <v/>
      </c>
      <c r="B11" s="7" t="n">
        <f aca="false">ValidationWorkbench!A11</f>
        <v>0</v>
      </c>
      <c r="C11" s="7" t="n">
        <f aca="false">SignalNormalization!B11</f>
        <v>0</v>
      </c>
      <c r="D11" s="7" t="str">
        <f aca="false">SignalNormalization!D11</f>
        <v/>
      </c>
      <c r="E11" s="7" t="str">
        <f aca="false">SignalNormalization!E11</f>
        <v/>
      </c>
      <c r="F11" s="7" t="str">
        <f aca="false">SignalNormalization!F11</f>
        <v/>
      </c>
      <c r="G11" s="7" t="str">
        <f aca="false">SignalNormalization!G11</f>
        <v/>
      </c>
      <c r="H11" s="7" t="str">
        <f aca="false">SignalNormalization!H11</f>
        <v/>
      </c>
      <c r="I11" s="7" t="str">
        <f aca="false">SignalNormalization!I11</f>
        <v/>
      </c>
      <c r="J11" s="7" t="str">
        <f aca="false">SignalNormalization!J11</f>
        <v/>
      </c>
      <c r="K11" s="7" t="str">
        <f aca="false">SignalNormalization!K11</f>
        <v/>
      </c>
      <c r="L11" s="7" t="str">
        <f aca="false">ValidationWorkbench!K11</f>
        <v/>
      </c>
      <c r="M11" s="7" t="str">
        <f aca="false">ValidationWorkbench!L11</f>
        <v/>
      </c>
      <c r="N11" s="7" t="str">
        <f aca="false">IF(A11&lt;&gt;"","Yes","")</f>
        <v/>
      </c>
    </row>
    <row r="12" customFormat="false" ht="19.5" hidden="false" customHeight="true" outlineLevel="0" collapsed="false">
      <c r="A12" s="7" t="str">
        <f aca="false">IF(ValidationWorkbench!I12="Approve",ValidationWorkbench!J12,"")</f>
        <v/>
      </c>
      <c r="B12" s="7" t="n">
        <f aca="false">ValidationWorkbench!A12</f>
        <v>0</v>
      </c>
      <c r="C12" s="7" t="n">
        <f aca="false">SignalNormalization!B12</f>
        <v>0</v>
      </c>
      <c r="D12" s="7" t="str">
        <f aca="false">SignalNormalization!D12</f>
        <v/>
      </c>
      <c r="E12" s="7" t="str">
        <f aca="false">SignalNormalization!E12</f>
        <v/>
      </c>
      <c r="F12" s="7" t="str">
        <f aca="false">SignalNormalization!F12</f>
        <v/>
      </c>
      <c r="G12" s="7" t="str">
        <f aca="false">SignalNormalization!G12</f>
        <v/>
      </c>
      <c r="H12" s="7" t="str">
        <f aca="false">SignalNormalization!H12</f>
        <v/>
      </c>
      <c r="I12" s="7" t="str">
        <f aca="false">SignalNormalization!I12</f>
        <v/>
      </c>
      <c r="J12" s="7" t="str">
        <f aca="false">SignalNormalization!J12</f>
        <v/>
      </c>
      <c r="K12" s="7" t="str">
        <f aca="false">SignalNormalization!K12</f>
        <v/>
      </c>
      <c r="L12" s="7" t="str">
        <f aca="false">ValidationWorkbench!K12</f>
        <v/>
      </c>
      <c r="M12" s="7" t="str">
        <f aca="false">ValidationWorkbench!L12</f>
        <v/>
      </c>
      <c r="N12" s="7" t="str">
        <f aca="false">IF(A12&lt;&gt;"","Yes","")</f>
        <v/>
      </c>
    </row>
    <row r="13" customFormat="false" ht="19.5" hidden="false" customHeight="true" outlineLevel="0" collapsed="false">
      <c r="A13" s="7" t="str">
        <f aca="false">IF(ValidationWorkbench!I13="Approve",ValidationWorkbench!J13,"")</f>
        <v/>
      </c>
      <c r="B13" s="7" t="n">
        <f aca="false">ValidationWorkbench!A13</f>
        <v>0</v>
      </c>
      <c r="C13" s="7" t="n">
        <f aca="false">SignalNormalization!B13</f>
        <v>0</v>
      </c>
      <c r="D13" s="7" t="str">
        <f aca="false">SignalNormalization!D13</f>
        <v/>
      </c>
      <c r="E13" s="7" t="str">
        <f aca="false">SignalNormalization!E13</f>
        <v/>
      </c>
      <c r="F13" s="7" t="str">
        <f aca="false">SignalNormalization!F13</f>
        <v/>
      </c>
      <c r="G13" s="7" t="str">
        <f aca="false">SignalNormalization!G13</f>
        <v/>
      </c>
      <c r="H13" s="7" t="str">
        <f aca="false">SignalNormalization!H13</f>
        <v/>
      </c>
      <c r="I13" s="7" t="str">
        <f aca="false">SignalNormalization!I13</f>
        <v/>
      </c>
      <c r="J13" s="7" t="str">
        <f aca="false">SignalNormalization!J13</f>
        <v/>
      </c>
      <c r="K13" s="7" t="str">
        <f aca="false">SignalNormalization!K13</f>
        <v/>
      </c>
      <c r="L13" s="7" t="str">
        <f aca="false">ValidationWorkbench!K13</f>
        <v/>
      </c>
      <c r="M13" s="7" t="str">
        <f aca="false">ValidationWorkbench!L13</f>
        <v/>
      </c>
      <c r="N13" s="7" t="str">
        <f aca="false">IF(A13&lt;&gt;"","Yes","")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4"/>
    <col collapsed="false" customWidth="true" hidden="false" outlineLevel="0" max="3" min="3" style="1" width="26"/>
    <col collapsed="false" customWidth="true" hidden="false" outlineLevel="0" max="4" min="4" style="1" width="34"/>
  </cols>
  <sheetData>
    <row r="1" customFormat="false" ht="19.5" hidden="false" customHeight="true" outlineLevel="0" collapsed="false">
      <c r="A1" s="9" t="s">
        <v>412</v>
      </c>
    </row>
    <row r="2" customFormat="false" ht="19.5" hidden="false" customHeight="true" outlineLevel="0" collapsed="false"/>
    <row r="3" customFormat="false" ht="19.5" hidden="false" customHeight="true" outlineLevel="0" collapsed="false">
      <c r="A3" s="5" t="s">
        <v>413</v>
      </c>
      <c r="B3" s="11" t="n">
        <f aca="false">COUNTIF(CandidateSignalQueue!R:R,"Queued")</f>
        <v>3</v>
      </c>
      <c r="D3" s="4" t="s">
        <v>303</v>
      </c>
    </row>
    <row r="4" customFormat="false" ht="19.5" hidden="false" customHeight="true" outlineLevel="0" collapsed="false">
      <c r="A4" s="5" t="s">
        <v>414</v>
      </c>
      <c r="B4" s="11" t="n">
        <f aca="false">COUNTIF(CandidateSignalQueue!R:R,"In Review")</f>
        <v>0</v>
      </c>
      <c r="D4" s="1" t="str">
        <f aca="false">IF(B5+B6&gt;0,"Automation queue is being filtered through analyst review before register entry.","No review activity yet.")</f>
        <v>No review activity yet.</v>
      </c>
    </row>
    <row r="5" customFormat="false" ht="19.5" hidden="false" customHeight="true" outlineLevel="0" collapsed="false">
      <c r="A5" s="5" t="s">
        <v>415</v>
      </c>
      <c r="B5" s="11" t="n">
        <f aca="false">COUNTIF(ValidationWorkbench!I:I,"Approve")</f>
        <v>0</v>
      </c>
    </row>
    <row r="6" customFormat="false" ht="19.5" hidden="false" customHeight="true" outlineLevel="0" collapsed="false">
      <c r="A6" s="5" t="s">
        <v>416</v>
      </c>
      <c r="B6" s="11" t="n">
        <f aca="false">COUNTIF(ValidationWorkbench!I:I,"Reject")</f>
        <v>0</v>
      </c>
      <c r="D6" s="4" t="s">
        <v>417</v>
      </c>
    </row>
    <row r="7" customFormat="false" ht="19.5" hidden="false" customHeight="true" outlineLevel="0" collapsed="false">
      <c r="A7" s="5" t="s">
        <v>418</v>
      </c>
      <c r="B7" s="11" t="n">
        <f aca="false">COUNTIF(ValidationWorkbench!I:I,"Escalate")</f>
        <v>0</v>
      </c>
      <c r="D7" s="1" t="str">
        <f aca="false">IF(B8&gt;0,"Copy approved rows from RegisterPush into SignalRegister / MIOS / OHOS workflow.","Continue reviewing queued candidates.")</f>
        <v>Continue reviewing queued candidates.</v>
      </c>
    </row>
    <row r="8" customFormat="false" ht="19.5" hidden="false" customHeight="true" outlineLevel="0" collapsed="false">
      <c r="A8" s="5" t="s">
        <v>419</v>
      </c>
      <c r="B8" s="11" t="n">
        <f aca="false">COUNTIF(RegisterPush!N:N,"Yes")</f>
        <v>0</v>
      </c>
    </row>
    <row r="9" customFormat="false" ht="19.5" hidden="false" customHeight="true" outlineLevel="0" collapsed="false"/>
    <row r="10" customFormat="false" ht="19.5" hidden="false" customHeight="true" outlineLevel="0" collapsed="false">
      <c r="A10" s="2" t="s">
        <v>420</v>
      </c>
      <c r="B10" s="2" t="s">
        <v>330</v>
      </c>
      <c r="C10" s="2" t="s">
        <v>408</v>
      </c>
      <c r="D10" s="2" t="s">
        <v>421</v>
      </c>
    </row>
    <row r="11" customFormat="false" ht="19.5" hidden="false" customHeight="true" outlineLevel="0" collapsed="false">
      <c r="A11" s="1" t="str">
        <f aca="false">CandidateSignalQueue!A4</f>
        <v>CS-001</v>
      </c>
      <c r="B11" s="1" t="n">
        <f aca="false">CandidateSignalQueue!O4</f>
        <v>15</v>
      </c>
      <c r="C11" s="1" t="str">
        <f aca="false">CandidateSignalQueue!P4</f>
        <v>CIOS→MIOS</v>
      </c>
      <c r="D11" s="1" t="n">
        <f aca="false">ValidationWorkbench!I4</f>
        <v>0</v>
      </c>
    </row>
    <row r="12" customFormat="false" ht="19.5" hidden="false" customHeight="true" outlineLevel="0" collapsed="false">
      <c r="A12" s="1" t="str">
        <f aca="false">CandidateSignalQueue!A5</f>
        <v>CS-002</v>
      </c>
      <c r="B12" s="1" t="n">
        <f aca="false">CandidateSignalQueue!O5</f>
        <v>16</v>
      </c>
      <c r="C12" s="1" t="str">
        <f aca="false">CandidateSignalQueue!P5</f>
        <v>CIOS→MIOS+OHOS</v>
      </c>
      <c r="D12" s="1" t="n">
        <f aca="false">ValidationWorkbench!I5</f>
        <v>0</v>
      </c>
    </row>
    <row r="13" customFormat="false" ht="19.5" hidden="false" customHeight="true" outlineLevel="0" collapsed="false">
      <c r="A13" s="1" t="str">
        <f aca="false">CandidateSignalQueue!A6</f>
        <v>CS-003</v>
      </c>
      <c r="B13" s="1" t="n">
        <f aca="false">CandidateSignalQueue!O6</f>
        <v>14</v>
      </c>
      <c r="C13" s="1" t="str">
        <f aca="false">CandidateSignalQueue!P6</f>
        <v>CIOS→OHOS</v>
      </c>
      <c r="D13" s="1" t="n">
        <f aca="false">ValidationWorkbench!I6</f>
        <v>0</v>
      </c>
    </row>
    <row r="14" customFormat="false" ht="19.5" hidden="false" customHeight="true" outlineLevel="0" collapsed="false">
      <c r="A14" s="1" t="n">
        <f aca="false">CandidateSignalQueue!A7</f>
        <v>0</v>
      </c>
      <c r="B14" s="1" t="n">
        <f aca="false">CandidateSignalQueue!O7</f>
        <v>0</v>
      </c>
      <c r="C14" s="1" t="n">
        <f aca="false">CandidateSignalQueue!P7</f>
        <v>0</v>
      </c>
      <c r="D14" s="1" t="n">
        <f aca="false">ValidationWorkbench!I7</f>
        <v>0</v>
      </c>
    </row>
    <row r="15" customFormat="false" ht="19.5" hidden="false" customHeight="true" outlineLevel="0" collapsed="false">
      <c r="A15" s="1" t="n">
        <f aca="false">CandidateSignalQueue!A8</f>
        <v>0</v>
      </c>
      <c r="B15" s="1" t="n">
        <f aca="false">CandidateSignalQueue!O8</f>
        <v>0</v>
      </c>
      <c r="C15" s="1" t="n">
        <f aca="false">CandidateSignalQueue!P8</f>
        <v>0</v>
      </c>
      <c r="D15" s="1" t="n">
        <f aca="false">ValidationWorkbench!I8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10"/>
  </cols>
  <sheetData>
    <row r="1" customFormat="false" ht="19.5" hidden="false" customHeight="true" outlineLevel="0" collapsed="false">
      <c r="A1" s="9" t="s">
        <v>422</v>
      </c>
    </row>
    <row r="2" customFormat="false" ht="19.5" hidden="false" customHeight="true" outlineLevel="0" collapsed="false"/>
    <row r="3" customFormat="false" ht="19.5" hidden="false" customHeight="true" outlineLevel="0" collapsed="false">
      <c r="A3" s="1" t="s">
        <v>423</v>
      </c>
    </row>
    <row r="4" customFormat="false" ht="19.5" hidden="false" customHeight="true" outlineLevel="0" collapsed="false">
      <c r="A4" s="1" t="s">
        <v>424</v>
      </c>
    </row>
    <row r="5" customFormat="false" ht="19.5" hidden="false" customHeight="true" outlineLevel="0" collapsed="false">
      <c r="A5" s="1" t="s">
        <v>425</v>
      </c>
    </row>
    <row r="6" customFormat="false" ht="19.5" hidden="false" customHeight="true" outlineLevel="0" collapsed="false">
      <c r="A6" s="1" t="s">
        <v>426</v>
      </c>
    </row>
    <row r="7" customFormat="false" ht="19.5" hidden="false" customHeight="true" outlineLevel="0" collapsed="false">
      <c r="A7" s="1" t="s">
        <v>427</v>
      </c>
    </row>
    <row r="8" customFormat="false" ht="19.5" hidden="false" customHeight="true" outlineLevel="0" collapsed="false">
      <c r="A8" s="1" t="s">
        <v>428</v>
      </c>
    </row>
    <row r="9" customFormat="false" ht="19.5" hidden="false" customHeight="true" outlineLevel="0" collapsed="false">
      <c r="A9" s="1" t="s">
        <v>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2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6" min="5" style="1" width="18"/>
    <col collapsed="false" customWidth="true" hidden="false" outlineLevel="0" max="7" min="7" style="1" width="14"/>
  </cols>
  <sheetData>
    <row r="1" customFormat="false" ht="27.75" hidden="false" customHeight="true" outlineLevel="0" collapsed="false">
      <c r="A1" s="2" t="s">
        <v>55</v>
      </c>
      <c r="B1" s="2" t="s">
        <v>430</v>
      </c>
      <c r="C1" s="2" t="s">
        <v>431</v>
      </c>
      <c r="D1" s="2" t="s">
        <v>432</v>
      </c>
      <c r="E1" s="2" t="s">
        <v>56</v>
      </c>
      <c r="F1" s="2" t="s">
        <v>433</v>
      </c>
      <c r="G1" s="2" t="s">
        <v>434</v>
      </c>
    </row>
    <row r="2" customFormat="false" ht="68.25" hidden="false" customHeight="true" outlineLevel="0" collapsed="false">
      <c r="A2" s="12" t="str">
        <f aca="false">CaseHeader!B4</f>
        <v>CASE-001</v>
      </c>
      <c r="B2" s="12" t="str">
        <f aca="false">CaseHeader!B5</f>
        <v>Will the monitored brand move closer to target adoption given the current validated signal set?</v>
      </c>
      <c r="C2" s="12" t="str">
        <f aca="false">CaseHeader!B6</f>
        <v>Net probability that the target outcome becomes more likely after signal validation and actor-response translation.</v>
      </c>
      <c r="D2" s="12" t="str">
        <f aca="false">CaseHeader!B7</f>
        <v>12 months</v>
      </c>
      <c r="E2" s="13" t="n">
        <f aca="false">ProbabilityEngine!B9</f>
        <v>0.59946998575947</v>
      </c>
      <c r="F2" s="12" t="str">
        <f aca="false">ProbabilityEngine!B10</f>
        <v>High</v>
      </c>
      <c r="G2" s="14" t="n">
        <f aca="false">CaseHeader!B13</f>
        <v>46096</v>
      </c>
    </row>
    <row r="4" customFormat="false" ht="15" hidden="false" customHeight="true" outlineLevel="0" collapsed="false">
      <c r="A4" s="5" t="s">
        <v>435</v>
      </c>
      <c r="B4" s="1" t="s">
        <v>436</v>
      </c>
    </row>
    <row r="5" customFormat="false" ht="15" hidden="false" customHeight="true" outlineLevel="0" collapsed="false">
      <c r="A5" s="5" t="s">
        <v>437</v>
      </c>
      <c r="B5" s="1" t="s">
        <v>438</v>
      </c>
    </row>
    <row r="6" customFormat="false" ht="13.8" hidden="false" customHeight="false" outlineLevel="0" collapsed="false">
      <c r="A6" s="1" t="s">
        <v>439</v>
      </c>
      <c r="B6" s="1" t="s">
        <v>440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0"/>
  </cols>
  <sheetData>
    <row r="1" customFormat="false" ht="17.25" hidden="false" customHeight="true" outlineLevel="0" collapsed="false">
      <c r="A1" s="15" t="s">
        <v>441</v>
      </c>
    </row>
    <row r="3" customFormat="false" ht="15" hidden="false" customHeight="true" outlineLevel="0" collapsed="false">
      <c r="A3" s="16" t="s">
        <v>353</v>
      </c>
      <c r="B3" s="16" t="s">
        <v>442</v>
      </c>
    </row>
    <row r="4" customFormat="false" ht="15" hidden="false" customHeight="true" outlineLevel="0" collapsed="false">
      <c r="A4" s="17" t="s">
        <v>55</v>
      </c>
      <c r="B4" s="17" t="s">
        <v>443</v>
      </c>
    </row>
    <row r="5" customFormat="false" ht="15" hidden="false" customHeight="true" outlineLevel="0" collapsed="false">
      <c r="A5" s="17" t="s">
        <v>430</v>
      </c>
      <c r="B5" s="17" t="s">
        <v>444</v>
      </c>
    </row>
    <row r="6" customFormat="false" ht="27.75" hidden="false" customHeight="true" outlineLevel="0" collapsed="false">
      <c r="A6" s="17" t="s">
        <v>431</v>
      </c>
      <c r="B6" s="17" t="s">
        <v>445</v>
      </c>
    </row>
    <row r="7" customFormat="false" ht="15" hidden="false" customHeight="true" outlineLevel="0" collapsed="false">
      <c r="A7" s="17" t="s">
        <v>432</v>
      </c>
      <c r="B7" s="17" t="s">
        <v>446</v>
      </c>
    </row>
    <row r="8" customFormat="false" ht="15" hidden="false" customHeight="true" outlineLevel="0" collapsed="false">
      <c r="A8" s="17" t="s">
        <v>447</v>
      </c>
      <c r="B8" s="17" t="n">
        <v>0.45</v>
      </c>
    </row>
    <row r="9" customFormat="false" ht="15" hidden="false" customHeight="true" outlineLevel="0" collapsed="false">
      <c r="A9" s="17" t="s">
        <v>56</v>
      </c>
      <c r="B9" s="18" t="n">
        <f aca="false">ProbabilityEngine!B9</f>
        <v>0.59946998575947</v>
      </c>
    </row>
    <row r="10" customFormat="false" ht="15" hidden="false" customHeight="true" outlineLevel="0" collapsed="false">
      <c r="A10" s="17" t="s">
        <v>433</v>
      </c>
      <c r="B10" s="17" t="str">
        <f aca="false">ProbabilityEngine!B10</f>
        <v>High</v>
      </c>
    </row>
    <row r="11" customFormat="false" ht="15" hidden="false" customHeight="true" outlineLevel="0" collapsed="false">
      <c r="A11" s="17" t="s">
        <v>448</v>
      </c>
      <c r="B11" s="17" t="n">
        <f aca="false">COUNTIF(SignalRegister!A4:A33,"&lt;&gt;")</f>
        <v>30</v>
      </c>
    </row>
    <row r="12" customFormat="false" ht="15" hidden="false" customHeight="true" outlineLevel="0" collapsed="false">
      <c r="A12" s="17" t="s">
        <v>449</v>
      </c>
      <c r="B12" s="17" t="str">
        <f aca="false">IFERROR(INDEX(SignalRegister!C4:C33,MATCH(TRUE(),INDEX(SignalRegister!C4:C33&lt;&gt;"",0),0)),"")</f>
        <v>ARIKAYCE</v>
      </c>
    </row>
    <row r="13" customFormat="false" ht="15" hidden="false" customHeight="true" outlineLevel="0" collapsed="false">
      <c r="A13" s="17" t="s">
        <v>434</v>
      </c>
      <c r="B13" s="19" t="n">
        <f aca="true">TODAY()</f>
        <v>46096</v>
      </c>
    </row>
    <row r="14" customFormat="false" ht="15" hidden="false" customHeight="true" outlineLevel="0" collapsed="false">
      <c r="A14" s="17" t="s">
        <v>450</v>
      </c>
      <c r="B14" s="20" t="str">
        <f aca="false">ActorAggregation!B10</f>
        <v>Academic KOLs</v>
      </c>
    </row>
    <row r="15" customFormat="false" ht="15" hidden="false" customHeight="true" outlineLevel="0" collapsed="false">
      <c r="A15" s="17" t="s">
        <v>451</v>
      </c>
      <c r="B15" s="17" t="str">
        <f aca="false">ActorAggregation!B11</f>
        <v>Competitor Counteraction</v>
      </c>
    </row>
    <row r="16" customFormat="false" ht="15" hidden="false" customHeight="true" outlineLevel="0" collapsed="false">
      <c r="A16" s="17" t="s">
        <v>452</v>
      </c>
      <c r="B16" s="17" t="s">
        <v>453</v>
      </c>
    </row>
    <row r="17" customFormat="false" ht="15" hidden="false" customHeight="true" outlineLevel="0" collapsed="false">
      <c r="A17" s="17" t="s">
        <v>454</v>
      </c>
      <c r="B17" s="17" t="s">
        <v>455</v>
      </c>
    </row>
    <row r="18" customFormat="false" ht="15" hidden="false" customHeight="true" outlineLevel="0" collapsed="false">
      <c r="A18" s="17" t="s">
        <v>456</v>
      </c>
      <c r="B18" s="17" t="s">
        <v>25</v>
      </c>
    </row>
    <row r="19" customFormat="false" ht="15" hidden="false" customHeight="true" outlineLevel="0" collapsed="false">
      <c r="A19" s="17" t="s">
        <v>457</v>
      </c>
      <c r="B19" s="17" t="s">
        <v>458</v>
      </c>
    </row>
    <row r="21" customFormat="false" ht="27.75" hidden="false" customHeight="true" outlineLevel="0" collapsed="false">
      <c r="A21" s="17" t="s">
        <v>459</v>
      </c>
      <c r="B21" s="17" t="s">
        <v>460</v>
      </c>
    </row>
    <row r="22" customFormat="false" ht="18" hidden="false" customHeight="true" outlineLevel="0" collapsed="false">
      <c r="A22" s="1" t="s">
        <v>461</v>
      </c>
      <c r="B22" s="1" t="str">
        <f aca="false">B16</f>
        <v>General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12"/>
    <col collapsed="false" customWidth="true" hidden="false" outlineLevel="0" max="4" min="4" style="1" width="52"/>
    <col collapsed="false" customWidth="true" hidden="false" outlineLevel="0" max="5" min="5" style="1" width="20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15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24"/>
    <col collapsed="false" customWidth="true" hidden="false" outlineLevel="0" max="13" min="12" style="1" width="10"/>
    <col collapsed="false" customWidth="true" hidden="false" outlineLevel="0" max="14" min="14" style="1" width="16"/>
    <col collapsed="false" customWidth="true" hidden="false" outlineLevel="0" max="16" min="15" style="1" width="18"/>
    <col collapsed="false" customWidth="true" hidden="false" outlineLevel="0" max="17" min="17" style="1" width="16"/>
  </cols>
  <sheetData>
    <row r="1" customFormat="false" ht="17.25" hidden="false" customHeight="true" outlineLevel="0" collapsed="false">
      <c r="A1" s="15" t="s">
        <v>462</v>
      </c>
    </row>
    <row r="3" customFormat="false" ht="27.75" hidden="false" customHeight="true" outlineLevel="0" collapsed="false">
      <c r="A3" s="16" t="s">
        <v>0</v>
      </c>
      <c r="B3" s="16" t="s">
        <v>359</v>
      </c>
      <c r="C3" s="16" t="s">
        <v>73</v>
      </c>
      <c r="D3" s="16" t="s">
        <v>36</v>
      </c>
      <c r="E3" s="16" t="s">
        <v>2</v>
      </c>
      <c r="F3" s="16" t="s">
        <v>37</v>
      </c>
      <c r="G3" s="16" t="s">
        <v>406</v>
      </c>
      <c r="H3" s="16" t="s">
        <v>407</v>
      </c>
      <c r="I3" s="16" t="s">
        <v>393</v>
      </c>
      <c r="J3" s="16" t="s">
        <v>408</v>
      </c>
      <c r="K3" s="16" t="s">
        <v>395</v>
      </c>
      <c r="L3" s="16" t="s">
        <v>409</v>
      </c>
      <c r="M3" s="16" t="s">
        <v>410</v>
      </c>
      <c r="N3" s="16" t="s">
        <v>463</v>
      </c>
      <c r="O3" s="16" t="s">
        <v>464</v>
      </c>
      <c r="P3" s="2" t="s">
        <v>465</v>
      </c>
      <c r="Q3" s="2" t="s">
        <v>466</v>
      </c>
    </row>
    <row r="4" customFormat="false" ht="27.75" hidden="false" customHeight="true" outlineLevel="0" collapsed="false">
      <c r="A4" s="17" t="str">
        <f aca="false">IF(RegisterPush!B4="","",IF(RegisterPush!A4&lt;&gt;"",RegisterPush!A4,RegisterPush!B4))</f>
        <v>CS-001</v>
      </c>
      <c r="B4" s="17" t="str">
        <f aca="false">IF(RegisterPush!B4="","",RegisterPush!B4)</f>
        <v>CS-001</v>
      </c>
      <c r="C4" s="17" t="str">
        <f aca="false">IF(RegisterPush!B4="","",RegisterPush!C4)</f>
        <v>ARIKAYCE</v>
      </c>
      <c r="D4" s="17" t="str">
        <f aca="false">IF(RegisterPush!B4="","",RegisterPush!D4)</f>
        <v>A new publication appears to strengthen the bridge between microbiology and function.</v>
      </c>
      <c r="E4" s="17" t="str">
        <f aca="false">IF(RegisterPush!B4="","",RegisterPush!E4)</f>
        <v>Clinical evidence</v>
      </c>
      <c r="F4" s="17" t="str">
        <f aca="false">IF(RegisterPush!B4="","",RegisterPush!F4)</f>
        <v>Positive</v>
      </c>
      <c r="G4" s="17" t="n">
        <f aca="false">IF(RegisterPush!B4="","",RegisterPush!G4)</f>
        <v>4</v>
      </c>
      <c r="H4" s="17" t="n">
        <f aca="false">IF(RegisterPush!B4="","",RegisterPush!H4)</f>
        <v>5</v>
      </c>
      <c r="I4" s="17" t="n">
        <f aca="false">IF(RegisterPush!B4="","",RegisterPush!I4)</f>
        <v>1.32</v>
      </c>
      <c r="J4" s="17" t="str">
        <f aca="false">IF(RegisterPush!B4="","",RegisterPush!J4)</f>
        <v>CIOS→MIOS</v>
      </c>
      <c r="K4" s="17" t="str">
        <f aca="false">IF(RegisterPush!B4="","",RegisterPush!K4)</f>
        <v>Pulmonology / NTM-focused</v>
      </c>
      <c r="L4" s="17" t="str">
        <f aca="false">IF(B4="","",IF(RegisterPush!L4&lt;&gt;"",RegisterPush!L4,IF(OR(J4="CIOS→MIOS",J4="CIOS→MIOS+OHOS"),"Yes","No")))</f>
        <v>Yes</v>
      </c>
      <c r="M4" s="17" t="str">
        <f aca="false">IF(B4="","",IF(RegisterPush!M4&lt;&gt;"",RegisterPush!M4,IF(OR(J4="CIOS→OHOS",J4="CIOS→MIOS+OHOS"),"Yes","No")))</f>
        <v>No</v>
      </c>
      <c r="N4" s="17" t="n">
        <f aca="false">IF(B4="","",G4*H4)</f>
        <v>20</v>
      </c>
      <c r="O4" s="20" t="n">
        <f aca="false">IF(B4="","",ActorReactionMatrix!M4)</f>
        <v>0.748083753637245</v>
      </c>
      <c r="P4" s="12" t="n">
        <f aca="false">IF(B4="",1,IF(I4="",1,I4))</f>
        <v>1.32</v>
      </c>
      <c r="Q4" s="12" t="n">
        <f aca="false">IF(B4="","",ABS(O4))</f>
        <v>0.748083753637245</v>
      </c>
    </row>
    <row r="5" customFormat="false" ht="27.75" hidden="false" customHeight="true" outlineLevel="0" collapsed="false">
      <c r="A5" s="17" t="str">
        <f aca="false">IF(RegisterPush!B5="","",IF(RegisterPush!A5&lt;&gt;"",RegisterPush!A5,RegisterPush!B5))</f>
        <v>CS-002</v>
      </c>
      <c r="B5" s="17" t="str">
        <f aca="false">IF(RegisterPush!B5="","",RegisterPush!B5)</f>
        <v>CS-002</v>
      </c>
      <c r="C5" s="17" t="str">
        <f aca="false">IF(RegisterPush!B5="","",RegisterPush!C5)</f>
        <v>ARIKAYCE</v>
      </c>
      <c r="D5" s="17" t="str">
        <f aca="false">IF(RegisterPush!B5="","",RegisterPush!D5)</f>
        <v>Multiple accounts continue to ask for a simpler identification and referral story.</v>
      </c>
      <c r="E5" s="17" t="str">
        <f aca="false">IF(RegisterPush!B5="","",RegisterPush!E5)</f>
        <v>Field intelligence</v>
      </c>
      <c r="F5" s="17" t="str">
        <f aca="false">IF(RegisterPush!B5="","",RegisterPush!F5)</f>
        <v>Negative</v>
      </c>
      <c r="G5" s="17" t="n">
        <f aca="false">IF(RegisterPush!B5="","",RegisterPush!G5)</f>
        <v>4</v>
      </c>
      <c r="H5" s="17" t="n">
        <f aca="false">IF(RegisterPush!B5="","",RegisterPush!H5)</f>
        <v>4</v>
      </c>
      <c r="I5" s="17" t="n">
        <f aca="false">IF(RegisterPush!B5="","",RegisterPush!I5)</f>
        <v>0.68</v>
      </c>
      <c r="J5" s="17" t="str">
        <f aca="false">IF(RegisterPush!B5="","",RegisterPush!J5)</f>
        <v>CIOS→MIOS+OHOS</v>
      </c>
      <c r="K5" s="17" t="str">
        <f aca="false">IF(RegisterPush!B5="","",RegisterPush!K5)</f>
        <v>Pulmonology / community</v>
      </c>
      <c r="L5" s="17" t="str">
        <f aca="false">IF(B5="","",IF(RegisterPush!L5&lt;&gt;"",RegisterPush!L5,IF(OR(J5="CIOS→MIOS",J5="CIOS→MIOS+OHOS"),"Yes","No")))</f>
        <v>Yes</v>
      </c>
      <c r="M5" s="17" t="str">
        <f aca="false">IF(B5="","",IF(RegisterPush!M5&lt;&gt;"",RegisterPush!M5,IF(OR(J5="CIOS→OHOS",J5="CIOS→MIOS+OHOS"),"Yes","No")))</f>
        <v>Yes</v>
      </c>
      <c r="N5" s="17" t="n">
        <f aca="false">IF(B5="","",G5*H5)</f>
        <v>16</v>
      </c>
      <c r="O5" s="20" t="n">
        <f aca="false">IF(B5="","",ActorReactionMatrix!M5)</f>
        <v>-0.675312512124151</v>
      </c>
      <c r="P5" s="12" t="n">
        <f aca="false">IF(B5="",1,IF(I5="",1,I5))</f>
        <v>0.68</v>
      </c>
      <c r="Q5" s="12" t="n">
        <f aca="false">IF(B5="","",ABS(O5))</f>
        <v>0.675312512124151</v>
      </c>
    </row>
    <row r="6" customFormat="false" ht="27.75" hidden="false" customHeight="true" outlineLevel="0" collapsed="false">
      <c r="A6" s="17" t="str">
        <f aca="false">IF(RegisterPush!B6="","",IF(RegisterPush!A6&lt;&gt;"",RegisterPush!A6,RegisterPush!B6))</f>
        <v>CS-003</v>
      </c>
      <c r="B6" s="17" t="str">
        <f aca="false">IF(RegisterPush!B6="","",RegisterPush!B6)</f>
        <v>CS-003</v>
      </c>
      <c r="C6" s="17" t="str">
        <f aca="false">IF(RegisterPush!B6="","",RegisterPush!C6)</f>
        <v>ARIKAYCE</v>
      </c>
      <c r="D6" s="17" t="str">
        <f aca="false">IF(RegisterPush!B6="","",RegisterPush!D6)</f>
        <v>Emerging coverage shift could reduce reimbursement obstacles in target accounts.</v>
      </c>
      <c r="E6" s="17" t="str">
        <f aca="false">IF(RegisterPush!B6="","",RegisterPush!E6)</f>
        <v>Access / commercial</v>
      </c>
      <c r="F6" s="17" t="str">
        <f aca="false">IF(RegisterPush!B6="","",RegisterPush!F6)</f>
        <v>Positive</v>
      </c>
      <c r="G6" s="17" t="n">
        <f aca="false">IF(RegisterPush!B6="","",RegisterPush!G6)</f>
        <v>5</v>
      </c>
      <c r="H6" s="17" t="n">
        <f aca="false">IF(RegisterPush!B6="","",RegisterPush!H6)</f>
        <v>4</v>
      </c>
      <c r="I6" s="17" t="n">
        <f aca="false">IF(RegisterPush!B6="","",RegisterPush!I6)</f>
        <v>1.4</v>
      </c>
      <c r="J6" s="17" t="str">
        <f aca="false">IF(RegisterPush!B6="","",RegisterPush!J6)</f>
        <v>CIOS→OHOS</v>
      </c>
      <c r="K6" s="17" t="str">
        <f aca="false">IF(RegisterPush!B6="","",RegisterPush!K6)</f>
        <v>Pulmonology / general</v>
      </c>
      <c r="L6" s="17" t="str">
        <f aca="false">IF(B6="","",IF(RegisterPush!L6&lt;&gt;"",RegisterPush!L6,IF(OR(J6="CIOS→MIOS",J6="CIOS→MIOS+OHOS"),"Yes","No")))</f>
        <v>No</v>
      </c>
      <c r="M6" s="17" t="str">
        <f aca="false">IF(B6="","",IF(RegisterPush!M6&lt;&gt;"",RegisterPush!M6,IF(OR(J6="CIOS→OHOS",J6="CIOS→MIOS+OHOS"),"Yes","No")))</f>
        <v>Yes</v>
      </c>
      <c r="N6" s="17" t="n">
        <f aca="false">IF(B6="","",G6*H6)</f>
        <v>20</v>
      </c>
      <c r="O6" s="20" t="n">
        <f aca="false">IF(B6="","",ActorReactionMatrix!M6)</f>
        <v>0.67820156886518</v>
      </c>
      <c r="P6" s="12" t="n">
        <f aca="false">IF(B6="",1,IF(I6="",1,I6))</f>
        <v>1.4</v>
      </c>
      <c r="Q6" s="12" t="n">
        <f aca="false">IF(B6="","",ABS(O6))</f>
        <v>0.67820156886518</v>
      </c>
    </row>
    <row r="7" customFormat="false" ht="15" hidden="false" customHeight="true" outlineLevel="0" collapsed="false">
      <c r="A7" s="17" t="n">
        <f aca="false">IF(RegisterPush!B7="","",IF(RegisterPush!A7&lt;&gt;"",RegisterPush!A7,RegisterPush!B7))</f>
        <v>0</v>
      </c>
      <c r="B7" s="17" t="n">
        <f aca="false">IF(RegisterPush!B7="","",RegisterPush!B7)</f>
        <v>0</v>
      </c>
      <c r="C7" s="17" t="n">
        <f aca="false">IF(RegisterPush!B7="","",RegisterPush!C7)</f>
        <v>0</v>
      </c>
      <c r="D7" s="17" t="str">
        <f aca="false">IF(RegisterPush!B7="","",RegisterPush!D7)</f>
        <v/>
      </c>
      <c r="E7" s="17" t="str">
        <f aca="false">IF(RegisterPush!B7="","",RegisterPush!E7)</f>
        <v/>
      </c>
      <c r="F7" s="17" t="str">
        <f aca="false">IF(RegisterPush!B7="","",RegisterPush!F7)</f>
        <v/>
      </c>
      <c r="G7" s="17" t="str">
        <f aca="false">IF(RegisterPush!B7="","",RegisterPush!G7)</f>
        <v/>
      </c>
      <c r="H7" s="17" t="str">
        <f aca="false">IF(RegisterPush!B7="","",RegisterPush!H7)</f>
        <v/>
      </c>
      <c r="I7" s="17" t="str">
        <f aca="false">IF(RegisterPush!B7="","",RegisterPush!I7)</f>
        <v/>
      </c>
      <c r="J7" s="17" t="str">
        <f aca="false">IF(RegisterPush!B7="","",RegisterPush!J7)</f>
        <v/>
      </c>
      <c r="K7" s="17" t="str">
        <f aca="false">IF(RegisterPush!B7="","",RegisterPush!K7)</f>
        <v/>
      </c>
      <c r="L7" s="17" t="str">
        <f aca="false">IF(B7="","",IF(RegisterPush!L7&lt;&gt;"",RegisterPush!L7,IF(OR(J7="CIOS→MIOS",J7="CIOS→MIOS+OHOS"),"Yes","No")))</f>
        <v>No</v>
      </c>
      <c r="M7" s="17" t="str">
        <f aca="false">IF(B7="","",IF(RegisterPush!M7&lt;&gt;"",RegisterPush!M7,IF(OR(J7="CIOS→OHOS",J7="CIOS→MIOS+OHOS"),"Yes","No")))</f>
        <v>No</v>
      </c>
      <c r="N7" s="17" t="e">
        <f aca="false">IF(B7="","",G7*H7)</f>
        <v>#VALUE!</v>
      </c>
      <c r="O7" s="17" t="n">
        <f aca="false">IF(B7="","",ActorReactionMatrix!M7)</f>
        <v>0</v>
      </c>
      <c r="P7" s="12" t="n">
        <f aca="false">IF(B7="",1,IF(I7="",1,I7))</f>
        <v>1</v>
      </c>
      <c r="Q7" s="12" t="n">
        <f aca="false">IF(B7="","",ABS(O7))</f>
        <v>0</v>
      </c>
    </row>
    <row r="8" customFormat="false" ht="15" hidden="false" customHeight="true" outlineLevel="0" collapsed="false">
      <c r="A8" s="17" t="n">
        <f aca="false">IF(RegisterPush!B8="","",IF(RegisterPush!A8&lt;&gt;"",RegisterPush!A8,RegisterPush!B8))</f>
        <v>0</v>
      </c>
      <c r="B8" s="17" t="n">
        <f aca="false">IF(RegisterPush!B8="","",RegisterPush!B8)</f>
        <v>0</v>
      </c>
      <c r="C8" s="17" t="n">
        <f aca="false">IF(RegisterPush!B8="","",RegisterPush!C8)</f>
        <v>0</v>
      </c>
      <c r="D8" s="17" t="str">
        <f aca="false">IF(RegisterPush!B8="","",RegisterPush!D8)</f>
        <v/>
      </c>
      <c r="E8" s="17" t="str">
        <f aca="false">IF(RegisterPush!B8="","",RegisterPush!E8)</f>
        <v/>
      </c>
      <c r="F8" s="17" t="str">
        <f aca="false">IF(RegisterPush!B8="","",RegisterPush!F8)</f>
        <v/>
      </c>
      <c r="G8" s="17" t="str">
        <f aca="false">IF(RegisterPush!B8="","",RegisterPush!G8)</f>
        <v/>
      </c>
      <c r="H8" s="17" t="str">
        <f aca="false">IF(RegisterPush!B8="","",RegisterPush!H8)</f>
        <v/>
      </c>
      <c r="I8" s="17" t="str">
        <f aca="false">IF(RegisterPush!B8="","",RegisterPush!I8)</f>
        <v/>
      </c>
      <c r="J8" s="17" t="str">
        <f aca="false">IF(RegisterPush!B8="","",RegisterPush!J8)</f>
        <v/>
      </c>
      <c r="K8" s="17" t="str">
        <f aca="false">IF(RegisterPush!B8="","",RegisterPush!K8)</f>
        <v/>
      </c>
      <c r="L8" s="17" t="str">
        <f aca="false">IF(B8="","",IF(RegisterPush!L8&lt;&gt;"",RegisterPush!L8,IF(OR(J8="CIOS→MIOS",J8="CIOS→MIOS+OHOS"),"Yes","No")))</f>
        <v>No</v>
      </c>
      <c r="M8" s="17" t="str">
        <f aca="false">IF(B8="","",IF(RegisterPush!M8&lt;&gt;"",RegisterPush!M8,IF(OR(J8="CIOS→OHOS",J8="CIOS→MIOS+OHOS"),"Yes","No")))</f>
        <v>No</v>
      </c>
      <c r="N8" s="17" t="e">
        <f aca="false">IF(B8="","",G8*H8)</f>
        <v>#VALUE!</v>
      </c>
      <c r="O8" s="17" t="n">
        <f aca="false">IF(B8="","",ActorReactionMatrix!M8)</f>
        <v>0</v>
      </c>
      <c r="P8" s="12" t="n">
        <f aca="false">IF(B8="",1,IF(I8="",1,I8))</f>
        <v>1</v>
      </c>
      <c r="Q8" s="12" t="n">
        <f aca="false">IF(B8="","",ABS(O8))</f>
        <v>0</v>
      </c>
    </row>
    <row r="9" customFormat="false" ht="15" hidden="false" customHeight="true" outlineLevel="0" collapsed="false">
      <c r="A9" s="17" t="n">
        <f aca="false">IF(RegisterPush!B9="","",IF(RegisterPush!A9&lt;&gt;"",RegisterPush!A9,RegisterPush!B9))</f>
        <v>0</v>
      </c>
      <c r="B9" s="17" t="n">
        <f aca="false">IF(RegisterPush!B9="","",RegisterPush!B9)</f>
        <v>0</v>
      </c>
      <c r="C9" s="17" t="n">
        <f aca="false">IF(RegisterPush!B9="","",RegisterPush!C9)</f>
        <v>0</v>
      </c>
      <c r="D9" s="17" t="str">
        <f aca="false">IF(RegisterPush!B9="","",RegisterPush!D9)</f>
        <v/>
      </c>
      <c r="E9" s="17" t="str">
        <f aca="false">IF(RegisterPush!B9="","",RegisterPush!E9)</f>
        <v/>
      </c>
      <c r="F9" s="17" t="str">
        <f aca="false">IF(RegisterPush!B9="","",RegisterPush!F9)</f>
        <v/>
      </c>
      <c r="G9" s="17" t="str">
        <f aca="false">IF(RegisterPush!B9="","",RegisterPush!G9)</f>
        <v/>
      </c>
      <c r="H9" s="17" t="str">
        <f aca="false">IF(RegisterPush!B9="","",RegisterPush!H9)</f>
        <v/>
      </c>
      <c r="I9" s="17" t="str">
        <f aca="false">IF(RegisterPush!B9="","",RegisterPush!I9)</f>
        <v/>
      </c>
      <c r="J9" s="17" t="str">
        <f aca="false">IF(RegisterPush!B9="","",RegisterPush!J9)</f>
        <v/>
      </c>
      <c r="K9" s="17" t="str">
        <f aca="false">IF(RegisterPush!B9="","",RegisterPush!K9)</f>
        <v/>
      </c>
      <c r="L9" s="17" t="str">
        <f aca="false">IF(B9="","",IF(RegisterPush!L9&lt;&gt;"",RegisterPush!L9,IF(OR(J9="CIOS→MIOS",J9="CIOS→MIOS+OHOS"),"Yes","No")))</f>
        <v>No</v>
      </c>
      <c r="M9" s="17" t="str">
        <f aca="false">IF(B9="","",IF(RegisterPush!M9&lt;&gt;"",RegisterPush!M9,IF(OR(J9="CIOS→OHOS",J9="CIOS→MIOS+OHOS"),"Yes","No")))</f>
        <v>No</v>
      </c>
      <c r="N9" s="17" t="e">
        <f aca="false">IF(B9="","",G9*H9)</f>
        <v>#VALUE!</v>
      </c>
      <c r="O9" s="17" t="n">
        <f aca="false">IF(B9="","",ActorReactionMatrix!M9)</f>
        <v>0</v>
      </c>
      <c r="P9" s="12" t="n">
        <f aca="false">IF(B9="",1,IF(I9="",1,I9))</f>
        <v>1</v>
      </c>
      <c r="Q9" s="12" t="n">
        <f aca="false">IF(B9="","",ABS(O9))</f>
        <v>0</v>
      </c>
    </row>
    <row r="10" customFormat="false" ht="15" hidden="false" customHeight="true" outlineLevel="0" collapsed="false">
      <c r="A10" s="17" t="n">
        <f aca="false">IF(RegisterPush!B10="","",IF(RegisterPush!A10&lt;&gt;"",RegisterPush!A10,RegisterPush!B10))</f>
        <v>0</v>
      </c>
      <c r="B10" s="17" t="n">
        <f aca="false">IF(RegisterPush!B10="","",RegisterPush!B10)</f>
        <v>0</v>
      </c>
      <c r="C10" s="17" t="n">
        <f aca="false">IF(RegisterPush!B10="","",RegisterPush!C10)</f>
        <v>0</v>
      </c>
      <c r="D10" s="17" t="str">
        <f aca="false">IF(RegisterPush!B10="","",RegisterPush!D10)</f>
        <v/>
      </c>
      <c r="E10" s="17" t="str">
        <f aca="false">IF(RegisterPush!B10="","",RegisterPush!E10)</f>
        <v/>
      </c>
      <c r="F10" s="17" t="str">
        <f aca="false">IF(RegisterPush!B10="","",RegisterPush!F10)</f>
        <v/>
      </c>
      <c r="G10" s="17" t="str">
        <f aca="false">IF(RegisterPush!B10="","",RegisterPush!G10)</f>
        <v/>
      </c>
      <c r="H10" s="17" t="str">
        <f aca="false">IF(RegisterPush!B10="","",RegisterPush!H10)</f>
        <v/>
      </c>
      <c r="I10" s="17" t="str">
        <f aca="false">IF(RegisterPush!B10="","",RegisterPush!I10)</f>
        <v/>
      </c>
      <c r="J10" s="17" t="str">
        <f aca="false">IF(RegisterPush!B10="","",RegisterPush!J10)</f>
        <v/>
      </c>
      <c r="K10" s="17" t="str">
        <f aca="false">IF(RegisterPush!B10="","",RegisterPush!K10)</f>
        <v/>
      </c>
      <c r="L10" s="17" t="str">
        <f aca="false">IF(B10="","",IF(RegisterPush!L10&lt;&gt;"",RegisterPush!L10,IF(OR(J10="CIOS→MIOS",J10="CIOS→MIOS+OHOS"),"Yes","No")))</f>
        <v>No</v>
      </c>
      <c r="M10" s="17" t="str">
        <f aca="false">IF(B10="","",IF(RegisterPush!M10&lt;&gt;"",RegisterPush!M10,IF(OR(J10="CIOS→OHOS",J10="CIOS→MIOS+OHOS"),"Yes","No")))</f>
        <v>No</v>
      </c>
      <c r="N10" s="17" t="e">
        <f aca="false">IF(B10="","",G10*H10)</f>
        <v>#VALUE!</v>
      </c>
      <c r="O10" s="17" t="n">
        <f aca="false">IF(B10="","",ActorReactionMatrix!M10)</f>
        <v>0</v>
      </c>
      <c r="P10" s="12" t="n">
        <f aca="false">IF(B10="",1,IF(I10="",1,I10))</f>
        <v>1</v>
      </c>
      <c r="Q10" s="12" t="n">
        <f aca="false">IF(B10="","",ABS(O10))</f>
        <v>0</v>
      </c>
    </row>
    <row r="11" customFormat="false" ht="15" hidden="false" customHeight="true" outlineLevel="0" collapsed="false">
      <c r="A11" s="17" t="n">
        <f aca="false">IF(RegisterPush!B11="","",IF(RegisterPush!A11&lt;&gt;"",RegisterPush!A11,RegisterPush!B11))</f>
        <v>0</v>
      </c>
      <c r="B11" s="17" t="n">
        <f aca="false">IF(RegisterPush!B11="","",RegisterPush!B11)</f>
        <v>0</v>
      </c>
      <c r="C11" s="17" t="n">
        <f aca="false">IF(RegisterPush!B11="","",RegisterPush!C11)</f>
        <v>0</v>
      </c>
      <c r="D11" s="17" t="str">
        <f aca="false">IF(RegisterPush!B11="","",RegisterPush!D11)</f>
        <v/>
      </c>
      <c r="E11" s="17" t="str">
        <f aca="false">IF(RegisterPush!B11="","",RegisterPush!E11)</f>
        <v/>
      </c>
      <c r="F11" s="17" t="str">
        <f aca="false">IF(RegisterPush!B11="","",RegisterPush!F11)</f>
        <v/>
      </c>
      <c r="G11" s="17" t="str">
        <f aca="false">IF(RegisterPush!B11="","",RegisterPush!G11)</f>
        <v/>
      </c>
      <c r="H11" s="17" t="str">
        <f aca="false">IF(RegisterPush!B11="","",RegisterPush!H11)</f>
        <v/>
      </c>
      <c r="I11" s="17" t="str">
        <f aca="false">IF(RegisterPush!B11="","",RegisterPush!I11)</f>
        <v/>
      </c>
      <c r="J11" s="17" t="str">
        <f aca="false">IF(RegisterPush!B11="","",RegisterPush!J11)</f>
        <v/>
      </c>
      <c r="K11" s="17" t="str">
        <f aca="false">IF(RegisterPush!B11="","",RegisterPush!K11)</f>
        <v/>
      </c>
      <c r="L11" s="17" t="str">
        <f aca="false">IF(B11="","",IF(RegisterPush!L11&lt;&gt;"",RegisterPush!L11,IF(OR(J11="CIOS→MIOS",J11="CIOS→MIOS+OHOS"),"Yes","No")))</f>
        <v>No</v>
      </c>
      <c r="M11" s="17" t="str">
        <f aca="false">IF(B11="","",IF(RegisterPush!M11&lt;&gt;"",RegisterPush!M11,IF(OR(J11="CIOS→OHOS",J11="CIOS→MIOS+OHOS"),"Yes","No")))</f>
        <v>No</v>
      </c>
      <c r="N11" s="17" t="e">
        <f aca="false">IF(B11="","",G11*H11)</f>
        <v>#VALUE!</v>
      </c>
      <c r="O11" s="17" t="n">
        <f aca="false">IF(B11="","",ActorReactionMatrix!M11)</f>
        <v>0</v>
      </c>
      <c r="P11" s="12" t="n">
        <f aca="false">IF(B11="",1,IF(I11="",1,I11))</f>
        <v>1</v>
      </c>
      <c r="Q11" s="12" t="n">
        <f aca="false">IF(B11="","",ABS(O11))</f>
        <v>0</v>
      </c>
    </row>
    <row r="12" customFormat="false" ht="15" hidden="false" customHeight="true" outlineLevel="0" collapsed="false">
      <c r="A12" s="17" t="n">
        <f aca="false">IF(RegisterPush!B12="","",IF(RegisterPush!A12&lt;&gt;"",RegisterPush!A12,RegisterPush!B12))</f>
        <v>0</v>
      </c>
      <c r="B12" s="17" t="n">
        <f aca="false">IF(RegisterPush!B12="","",RegisterPush!B12)</f>
        <v>0</v>
      </c>
      <c r="C12" s="17" t="n">
        <f aca="false">IF(RegisterPush!B12="","",RegisterPush!C12)</f>
        <v>0</v>
      </c>
      <c r="D12" s="17" t="str">
        <f aca="false">IF(RegisterPush!B12="","",RegisterPush!D12)</f>
        <v/>
      </c>
      <c r="E12" s="17" t="str">
        <f aca="false">IF(RegisterPush!B12="","",RegisterPush!E12)</f>
        <v/>
      </c>
      <c r="F12" s="17" t="str">
        <f aca="false">IF(RegisterPush!B12="","",RegisterPush!F12)</f>
        <v/>
      </c>
      <c r="G12" s="17" t="str">
        <f aca="false">IF(RegisterPush!B12="","",RegisterPush!G12)</f>
        <v/>
      </c>
      <c r="H12" s="17" t="str">
        <f aca="false">IF(RegisterPush!B12="","",RegisterPush!H12)</f>
        <v/>
      </c>
      <c r="I12" s="17" t="str">
        <f aca="false">IF(RegisterPush!B12="","",RegisterPush!I12)</f>
        <v/>
      </c>
      <c r="J12" s="17" t="str">
        <f aca="false">IF(RegisterPush!B12="","",RegisterPush!J12)</f>
        <v/>
      </c>
      <c r="K12" s="17" t="str">
        <f aca="false">IF(RegisterPush!B12="","",RegisterPush!K12)</f>
        <v/>
      </c>
      <c r="L12" s="17" t="str">
        <f aca="false">IF(B12="","",IF(RegisterPush!L12&lt;&gt;"",RegisterPush!L12,IF(OR(J12="CIOS→MIOS",J12="CIOS→MIOS+OHOS"),"Yes","No")))</f>
        <v>No</v>
      </c>
      <c r="M12" s="17" t="str">
        <f aca="false">IF(B12="","",IF(RegisterPush!M12&lt;&gt;"",RegisterPush!M12,IF(OR(J12="CIOS→OHOS",J12="CIOS→MIOS+OHOS"),"Yes","No")))</f>
        <v>No</v>
      </c>
      <c r="N12" s="17" t="e">
        <f aca="false">IF(B12="","",G12*H12)</f>
        <v>#VALUE!</v>
      </c>
      <c r="O12" s="17" t="n">
        <f aca="false">IF(B12="","",ActorReactionMatrix!M12)</f>
        <v>0</v>
      </c>
      <c r="P12" s="12" t="n">
        <f aca="false">IF(B12="",1,IF(I12="",1,I12))</f>
        <v>1</v>
      </c>
      <c r="Q12" s="12" t="n">
        <f aca="false">IF(B12="","",ABS(O12))</f>
        <v>0</v>
      </c>
    </row>
    <row r="13" customFormat="false" ht="15" hidden="false" customHeight="true" outlineLevel="0" collapsed="false">
      <c r="A13" s="17" t="n">
        <f aca="false">IF(RegisterPush!B13="","",IF(RegisterPush!A13&lt;&gt;"",RegisterPush!A13,RegisterPush!B13))</f>
        <v>0</v>
      </c>
      <c r="B13" s="17" t="n">
        <f aca="false">IF(RegisterPush!B13="","",RegisterPush!B13)</f>
        <v>0</v>
      </c>
      <c r="C13" s="17" t="n">
        <f aca="false">IF(RegisterPush!B13="","",RegisterPush!C13)</f>
        <v>0</v>
      </c>
      <c r="D13" s="17" t="str">
        <f aca="false">IF(RegisterPush!B13="","",RegisterPush!D13)</f>
        <v/>
      </c>
      <c r="E13" s="17" t="str">
        <f aca="false">IF(RegisterPush!B13="","",RegisterPush!E13)</f>
        <v/>
      </c>
      <c r="F13" s="17" t="str">
        <f aca="false">IF(RegisterPush!B13="","",RegisterPush!F13)</f>
        <v/>
      </c>
      <c r="G13" s="17" t="str">
        <f aca="false">IF(RegisterPush!B13="","",RegisterPush!G13)</f>
        <v/>
      </c>
      <c r="H13" s="17" t="str">
        <f aca="false">IF(RegisterPush!B13="","",RegisterPush!H13)</f>
        <v/>
      </c>
      <c r="I13" s="17" t="str">
        <f aca="false">IF(RegisterPush!B13="","",RegisterPush!I13)</f>
        <v/>
      </c>
      <c r="J13" s="17" t="str">
        <f aca="false">IF(RegisterPush!B13="","",RegisterPush!J13)</f>
        <v/>
      </c>
      <c r="K13" s="17" t="str">
        <f aca="false">IF(RegisterPush!B13="","",RegisterPush!K13)</f>
        <v/>
      </c>
      <c r="L13" s="17" t="str">
        <f aca="false">IF(B13="","",IF(RegisterPush!L13&lt;&gt;"",RegisterPush!L13,IF(OR(J13="CIOS→MIOS",J13="CIOS→MIOS+OHOS"),"Yes","No")))</f>
        <v>No</v>
      </c>
      <c r="M13" s="17" t="str">
        <f aca="false">IF(B13="","",IF(RegisterPush!M13&lt;&gt;"",RegisterPush!M13,IF(OR(J13="CIOS→OHOS",J13="CIOS→MIOS+OHOS"),"Yes","No")))</f>
        <v>No</v>
      </c>
      <c r="N13" s="17" t="e">
        <f aca="false">IF(B13="","",G13*H13)</f>
        <v>#VALUE!</v>
      </c>
      <c r="O13" s="17" t="n">
        <f aca="false">IF(B13="","",ActorReactionMatrix!M13)</f>
        <v>0</v>
      </c>
      <c r="P13" s="12" t="n">
        <f aca="false">IF(B13="",1,IF(I13="",1,I13))</f>
        <v>1</v>
      </c>
      <c r="Q13" s="12" t="n">
        <f aca="false">IF(B13="","",ABS(O13))</f>
        <v>0</v>
      </c>
    </row>
    <row r="14" customFormat="false" ht="15" hidden="false" customHeight="true" outlineLevel="0" collapsed="false">
      <c r="A14" s="17" t="str">
        <f aca="false">IF(RegisterPush!B14="","",IF(RegisterPush!A14&lt;&gt;"",RegisterPush!A14,RegisterPush!B14))</f>
        <v/>
      </c>
      <c r="B14" s="17" t="str">
        <f aca="false">IF(RegisterPush!B14="","",RegisterPush!B14)</f>
        <v/>
      </c>
      <c r="C14" s="17" t="str">
        <f aca="false">IF(RegisterPush!B14="","",RegisterPush!C14)</f>
        <v/>
      </c>
      <c r="D14" s="17" t="str">
        <f aca="false">IF(RegisterPush!B14="","",RegisterPush!D14)</f>
        <v/>
      </c>
      <c r="E14" s="17" t="str">
        <f aca="false">IF(RegisterPush!B14="","",RegisterPush!E14)</f>
        <v/>
      </c>
      <c r="F14" s="17" t="str">
        <f aca="false">IF(RegisterPush!B14="","",RegisterPush!F14)</f>
        <v/>
      </c>
      <c r="G14" s="17" t="str">
        <f aca="false">IF(RegisterPush!B14="","",RegisterPush!G14)</f>
        <v/>
      </c>
      <c r="H14" s="17" t="str">
        <f aca="false">IF(RegisterPush!B14="","",RegisterPush!H14)</f>
        <v/>
      </c>
      <c r="I14" s="17" t="str">
        <f aca="false">IF(RegisterPush!B14="","",RegisterPush!I14)</f>
        <v/>
      </c>
      <c r="J14" s="17" t="str">
        <f aca="false">IF(RegisterPush!B14="","",RegisterPush!J14)</f>
        <v/>
      </c>
      <c r="K14" s="17" t="str">
        <f aca="false">IF(RegisterPush!B14="","",RegisterPush!K14)</f>
        <v/>
      </c>
      <c r="L14" s="17" t="str">
        <f aca="false">IF(B14="","",IF(RegisterPush!L14&lt;&gt;"",RegisterPush!L14,IF(OR(J14="CIOS→MIOS",J14="CIOS→MIOS+OHOS"),"Yes","No")))</f>
        <v/>
      </c>
      <c r="M14" s="17" t="str">
        <f aca="false">IF(B14="","",IF(RegisterPush!M14&lt;&gt;"",RegisterPush!M14,IF(OR(J14="CIOS→OHOS",J14="CIOS→MIOS+OHOS"),"Yes","No")))</f>
        <v/>
      </c>
      <c r="N14" s="17" t="str">
        <f aca="false">IF(B14="","",G14*H14)</f>
        <v/>
      </c>
      <c r="O14" s="17" t="str">
        <f aca="false">IF(B14="","",ActorReactionMatrix!M14)</f>
        <v/>
      </c>
      <c r="P14" s="12" t="n">
        <f aca="false">IF(B14="",1,IF(I14="",1,I14))</f>
        <v>1</v>
      </c>
      <c r="Q14" s="12" t="str">
        <f aca="false">IF(B14="","",ABS(O14))</f>
        <v/>
      </c>
    </row>
    <row r="15" customFormat="false" ht="15" hidden="false" customHeight="true" outlineLevel="0" collapsed="false">
      <c r="A15" s="17" t="str">
        <f aca="false">IF(RegisterPush!B15="","",IF(RegisterPush!A15&lt;&gt;"",RegisterPush!A15,RegisterPush!B15))</f>
        <v/>
      </c>
      <c r="B15" s="17" t="str">
        <f aca="false">IF(RegisterPush!B15="","",RegisterPush!B15)</f>
        <v/>
      </c>
      <c r="C15" s="17" t="str">
        <f aca="false">IF(RegisterPush!B15="","",RegisterPush!C15)</f>
        <v/>
      </c>
      <c r="D15" s="17" t="str">
        <f aca="false">IF(RegisterPush!B15="","",RegisterPush!D15)</f>
        <v/>
      </c>
      <c r="E15" s="17" t="str">
        <f aca="false">IF(RegisterPush!B15="","",RegisterPush!E15)</f>
        <v/>
      </c>
      <c r="F15" s="17" t="str">
        <f aca="false">IF(RegisterPush!B15="","",RegisterPush!F15)</f>
        <v/>
      </c>
      <c r="G15" s="17" t="str">
        <f aca="false">IF(RegisterPush!B15="","",RegisterPush!G15)</f>
        <v/>
      </c>
      <c r="H15" s="17" t="str">
        <f aca="false">IF(RegisterPush!B15="","",RegisterPush!H15)</f>
        <v/>
      </c>
      <c r="I15" s="17" t="str">
        <f aca="false">IF(RegisterPush!B15="","",RegisterPush!I15)</f>
        <v/>
      </c>
      <c r="J15" s="17" t="str">
        <f aca="false">IF(RegisterPush!B15="","",RegisterPush!J15)</f>
        <v/>
      </c>
      <c r="K15" s="17" t="str">
        <f aca="false">IF(RegisterPush!B15="","",RegisterPush!K15)</f>
        <v/>
      </c>
      <c r="L15" s="17" t="str">
        <f aca="false">IF(B15="","",IF(RegisterPush!L15&lt;&gt;"",RegisterPush!L15,IF(OR(J15="CIOS→MIOS",J15="CIOS→MIOS+OHOS"),"Yes","No")))</f>
        <v/>
      </c>
      <c r="M15" s="17" t="str">
        <f aca="false">IF(B15="","",IF(RegisterPush!M15&lt;&gt;"",RegisterPush!M15,IF(OR(J15="CIOS→OHOS",J15="CIOS→MIOS+OHOS"),"Yes","No")))</f>
        <v/>
      </c>
      <c r="N15" s="17" t="str">
        <f aca="false">IF(B15="","",G15*H15)</f>
        <v/>
      </c>
      <c r="O15" s="17" t="str">
        <f aca="false">IF(B15="","",ActorReactionMatrix!M15)</f>
        <v/>
      </c>
      <c r="P15" s="12" t="n">
        <f aca="false">IF(B15="",1,IF(I15="",1,I15))</f>
        <v>1</v>
      </c>
      <c r="Q15" s="12" t="str">
        <f aca="false">IF(B15="","",ABS(O15))</f>
        <v/>
      </c>
    </row>
    <row r="16" customFormat="false" ht="15" hidden="false" customHeight="true" outlineLevel="0" collapsed="false">
      <c r="A16" s="17" t="str">
        <f aca="false">IF(RegisterPush!B16="","",IF(RegisterPush!A16&lt;&gt;"",RegisterPush!A16,RegisterPush!B16))</f>
        <v/>
      </c>
      <c r="B16" s="17" t="str">
        <f aca="false">IF(RegisterPush!B16="","",RegisterPush!B16)</f>
        <v/>
      </c>
      <c r="C16" s="17" t="str">
        <f aca="false">IF(RegisterPush!B16="","",RegisterPush!C16)</f>
        <v/>
      </c>
      <c r="D16" s="17" t="str">
        <f aca="false">IF(RegisterPush!B16="","",RegisterPush!D16)</f>
        <v/>
      </c>
      <c r="E16" s="17" t="str">
        <f aca="false">IF(RegisterPush!B16="","",RegisterPush!E16)</f>
        <v/>
      </c>
      <c r="F16" s="17" t="str">
        <f aca="false">IF(RegisterPush!B16="","",RegisterPush!F16)</f>
        <v/>
      </c>
      <c r="G16" s="17" t="str">
        <f aca="false">IF(RegisterPush!B16="","",RegisterPush!G16)</f>
        <v/>
      </c>
      <c r="H16" s="17" t="str">
        <f aca="false">IF(RegisterPush!B16="","",RegisterPush!H16)</f>
        <v/>
      </c>
      <c r="I16" s="17" t="str">
        <f aca="false">IF(RegisterPush!B16="","",RegisterPush!I16)</f>
        <v/>
      </c>
      <c r="J16" s="17" t="str">
        <f aca="false">IF(RegisterPush!B16="","",RegisterPush!J16)</f>
        <v/>
      </c>
      <c r="K16" s="17" t="str">
        <f aca="false">IF(RegisterPush!B16="","",RegisterPush!K16)</f>
        <v/>
      </c>
      <c r="L16" s="17" t="str">
        <f aca="false">IF(B16="","",IF(RegisterPush!L16&lt;&gt;"",RegisterPush!L16,IF(OR(J16="CIOS→MIOS",J16="CIOS→MIOS+OHOS"),"Yes","No")))</f>
        <v/>
      </c>
      <c r="M16" s="17" t="str">
        <f aca="false">IF(B16="","",IF(RegisterPush!M16&lt;&gt;"",RegisterPush!M16,IF(OR(J16="CIOS→OHOS",J16="CIOS→MIOS+OHOS"),"Yes","No")))</f>
        <v/>
      </c>
      <c r="N16" s="17" t="str">
        <f aca="false">IF(B16="","",G16*H16)</f>
        <v/>
      </c>
      <c r="O16" s="17" t="str">
        <f aca="false">IF(B16="","",ActorReactionMatrix!M16)</f>
        <v/>
      </c>
      <c r="P16" s="12" t="n">
        <f aca="false">IF(B16="",1,IF(I16="",1,I16))</f>
        <v>1</v>
      </c>
      <c r="Q16" s="12" t="str">
        <f aca="false">IF(B16="","",ABS(O16))</f>
        <v/>
      </c>
    </row>
    <row r="17" customFormat="false" ht="15" hidden="false" customHeight="true" outlineLevel="0" collapsed="false">
      <c r="A17" s="17" t="str">
        <f aca="false">IF(RegisterPush!B17="","",IF(RegisterPush!A17&lt;&gt;"",RegisterPush!A17,RegisterPush!B17))</f>
        <v/>
      </c>
      <c r="B17" s="17" t="str">
        <f aca="false">IF(RegisterPush!B17="","",RegisterPush!B17)</f>
        <v/>
      </c>
      <c r="C17" s="17" t="str">
        <f aca="false">IF(RegisterPush!B17="","",RegisterPush!C17)</f>
        <v/>
      </c>
      <c r="D17" s="17" t="str">
        <f aca="false">IF(RegisterPush!B17="","",RegisterPush!D17)</f>
        <v/>
      </c>
      <c r="E17" s="17" t="str">
        <f aca="false">IF(RegisterPush!B17="","",RegisterPush!E17)</f>
        <v/>
      </c>
      <c r="F17" s="17" t="str">
        <f aca="false">IF(RegisterPush!B17="","",RegisterPush!F17)</f>
        <v/>
      </c>
      <c r="G17" s="17" t="str">
        <f aca="false">IF(RegisterPush!B17="","",RegisterPush!G17)</f>
        <v/>
      </c>
      <c r="H17" s="17" t="str">
        <f aca="false">IF(RegisterPush!B17="","",RegisterPush!H17)</f>
        <v/>
      </c>
      <c r="I17" s="17" t="str">
        <f aca="false">IF(RegisterPush!B17="","",RegisterPush!I17)</f>
        <v/>
      </c>
      <c r="J17" s="17" t="str">
        <f aca="false">IF(RegisterPush!B17="","",RegisterPush!J17)</f>
        <v/>
      </c>
      <c r="K17" s="17" t="str">
        <f aca="false">IF(RegisterPush!B17="","",RegisterPush!K17)</f>
        <v/>
      </c>
      <c r="L17" s="17" t="str">
        <f aca="false">IF(B17="","",IF(RegisterPush!L17&lt;&gt;"",RegisterPush!L17,IF(OR(J17="CIOS→MIOS",J17="CIOS→MIOS+OHOS"),"Yes","No")))</f>
        <v/>
      </c>
      <c r="M17" s="17" t="str">
        <f aca="false">IF(B17="","",IF(RegisterPush!M17&lt;&gt;"",RegisterPush!M17,IF(OR(J17="CIOS→OHOS",J17="CIOS→MIOS+OHOS"),"Yes","No")))</f>
        <v/>
      </c>
      <c r="N17" s="17" t="str">
        <f aca="false">IF(B17="","",G17*H17)</f>
        <v/>
      </c>
      <c r="O17" s="17" t="str">
        <f aca="false">IF(B17="","",ActorReactionMatrix!M17)</f>
        <v/>
      </c>
      <c r="P17" s="12" t="n">
        <f aca="false">IF(B17="",1,IF(I17="",1,I17))</f>
        <v>1</v>
      </c>
      <c r="Q17" s="12" t="str">
        <f aca="false">IF(B17="","",ABS(O17))</f>
        <v/>
      </c>
    </row>
    <row r="18" customFormat="false" ht="15" hidden="false" customHeight="true" outlineLevel="0" collapsed="false">
      <c r="A18" s="17" t="str">
        <f aca="false">IF(RegisterPush!B18="","",IF(RegisterPush!A18&lt;&gt;"",RegisterPush!A18,RegisterPush!B18))</f>
        <v/>
      </c>
      <c r="B18" s="17" t="str">
        <f aca="false">IF(RegisterPush!B18="","",RegisterPush!B18)</f>
        <v/>
      </c>
      <c r="C18" s="17" t="str">
        <f aca="false">IF(RegisterPush!B18="","",RegisterPush!C18)</f>
        <v/>
      </c>
      <c r="D18" s="17" t="str">
        <f aca="false">IF(RegisterPush!B18="","",RegisterPush!D18)</f>
        <v/>
      </c>
      <c r="E18" s="17" t="str">
        <f aca="false">IF(RegisterPush!B18="","",RegisterPush!E18)</f>
        <v/>
      </c>
      <c r="F18" s="17" t="str">
        <f aca="false">IF(RegisterPush!B18="","",RegisterPush!F18)</f>
        <v/>
      </c>
      <c r="G18" s="17" t="str">
        <f aca="false">IF(RegisterPush!B18="","",RegisterPush!G18)</f>
        <v/>
      </c>
      <c r="H18" s="17" t="str">
        <f aca="false">IF(RegisterPush!B18="","",RegisterPush!H18)</f>
        <v/>
      </c>
      <c r="I18" s="17" t="str">
        <f aca="false">IF(RegisterPush!B18="","",RegisterPush!I18)</f>
        <v/>
      </c>
      <c r="J18" s="17" t="str">
        <f aca="false">IF(RegisterPush!B18="","",RegisterPush!J18)</f>
        <v/>
      </c>
      <c r="K18" s="17" t="str">
        <f aca="false">IF(RegisterPush!B18="","",RegisterPush!K18)</f>
        <v/>
      </c>
      <c r="L18" s="17" t="str">
        <f aca="false">IF(B18="","",IF(RegisterPush!L18&lt;&gt;"",RegisterPush!L18,IF(OR(J18="CIOS→MIOS",J18="CIOS→MIOS+OHOS"),"Yes","No")))</f>
        <v/>
      </c>
      <c r="M18" s="17" t="str">
        <f aca="false">IF(B18="","",IF(RegisterPush!M18&lt;&gt;"",RegisterPush!M18,IF(OR(J18="CIOS→OHOS",J18="CIOS→MIOS+OHOS"),"Yes","No")))</f>
        <v/>
      </c>
      <c r="N18" s="17" t="str">
        <f aca="false">IF(B18="","",G18*H18)</f>
        <v/>
      </c>
      <c r="O18" s="17" t="str">
        <f aca="false">IF(B18="","",ActorReactionMatrix!M18)</f>
        <v/>
      </c>
      <c r="P18" s="12" t="n">
        <f aca="false">IF(B18="",1,IF(I18="",1,I18))</f>
        <v>1</v>
      </c>
      <c r="Q18" s="12" t="str">
        <f aca="false">IF(B18="","",ABS(O18))</f>
        <v/>
      </c>
    </row>
    <row r="19" customFormat="false" ht="15" hidden="false" customHeight="true" outlineLevel="0" collapsed="false">
      <c r="A19" s="17" t="str">
        <f aca="false">IF(RegisterPush!B19="","",IF(RegisterPush!A19&lt;&gt;"",RegisterPush!A19,RegisterPush!B19))</f>
        <v/>
      </c>
      <c r="B19" s="17" t="str">
        <f aca="false">IF(RegisterPush!B19="","",RegisterPush!B19)</f>
        <v/>
      </c>
      <c r="C19" s="17" t="str">
        <f aca="false">IF(RegisterPush!B19="","",RegisterPush!C19)</f>
        <v/>
      </c>
      <c r="D19" s="17" t="str">
        <f aca="false">IF(RegisterPush!B19="","",RegisterPush!D19)</f>
        <v/>
      </c>
      <c r="E19" s="17" t="str">
        <f aca="false">IF(RegisterPush!B19="","",RegisterPush!E19)</f>
        <v/>
      </c>
      <c r="F19" s="17" t="str">
        <f aca="false">IF(RegisterPush!B19="","",RegisterPush!F19)</f>
        <v/>
      </c>
      <c r="G19" s="17" t="str">
        <f aca="false">IF(RegisterPush!B19="","",RegisterPush!G19)</f>
        <v/>
      </c>
      <c r="H19" s="17" t="str">
        <f aca="false">IF(RegisterPush!B19="","",RegisterPush!H19)</f>
        <v/>
      </c>
      <c r="I19" s="17" t="str">
        <f aca="false">IF(RegisterPush!B19="","",RegisterPush!I19)</f>
        <v/>
      </c>
      <c r="J19" s="17" t="str">
        <f aca="false">IF(RegisterPush!B19="","",RegisterPush!J19)</f>
        <v/>
      </c>
      <c r="K19" s="17" t="str">
        <f aca="false">IF(RegisterPush!B19="","",RegisterPush!K19)</f>
        <v/>
      </c>
      <c r="L19" s="17" t="str">
        <f aca="false">IF(B19="","",IF(RegisterPush!L19&lt;&gt;"",RegisterPush!L19,IF(OR(J19="CIOS→MIOS",J19="CIOS→MIOS+OHOS"),"Yes","No")))</f>
        <v/>
      </c>
      <c r="M19" s="17" t="str">
        <f aca="false">IF(B19="","",IF(RegisterPush!M19&lt;&gt;"",RegisterPush!M19,IF(OR(J19="CIOS→OHOS",J19="CIOS→MIOS+OHOS"),"Yes","No")))</f>
        <v/>
      </c>
      <c r="N19" s="17" t="str">
        <f aca="false">IF(B19="","",G19*H19)</f>
        <v/>
      </c>
      <c r="O19" s="17" t="str">
        <f aca="false">IF(B19="","",ActorReactionMatrix!M19)</f>
        <v/>
      </c>
      <c r="P19" s="12" t="n">
        <f aca="false">IF(B19="",1,IF(I19="",1,I19))</f>
        <v>1</v>
      </c>
      <c r="Q19" s="12" t="str">
        <f aca="false">IF(B19="","",ABS(O19))</f>
        <v/>
      </c>
    </row>
    <row r="20" customFormat="false" ht="15" hidden="false" customHeight="true" outlineLevel="0" collapsed="false">
      <c r="A20" s="17" t="str">
        <f aca="false">IF(RegisterPush!B20="","",IF(RegisterPush!A20&lt;&gt;"",RegisterPush!A20,RegisterPush!B20))</f>
        <v/>
      </c>
      <c r="B20" s="17" t="str">
        <f aca="false">IF(RegisterPush!B20="","",RegisterPush!B20)</f>
        <v/>
      </c>
      <c r="C20" s="17" t="str">
        <f aca="false">IF(RegisterPush!B20="","",RegisterPush!C20)</f>
        <v/>
      </c>
      <c r="D20" s="17" t="str">
        <f aca="false">IF(RegisterPush!B20="","",RegisterPush!D20)</f>
        <v/>
      </c>
      <c r="E20" s="17" t="str">
        <f aca="false">IF(RegisterPush!B20="","",RegisterPush!E20)</f>
        <v/>
      </c>
      <c r="F20" s="17" t="str">
        <f aca="false">IF(RegisterPush!B20="","",RegisterPush!F20)</f>
        <v/>
      </c>
      <c r="G20" s="17" t="str">
        <f aca="false">IF(RegisterPush!B20="","",RegisterPush!G20)</f>
        <v/>
      </c>
      <c r="H20" s="17" t="str">
        <f aca="false">IF(RegisterPush!B20="","",RegisterPush!H20)</f>
        <v/>
      </c>
      <c r="I20" s="17" t="str">
        <f aca="false">IF(RegisterPush!B20="","",RegisterPush!I20)</f>
        <v/>
      </c>
      <c r="J20" s="17" t="str">
        <f aca="false">IF(RegisterPush!B20="","",RegisterPush!J20)</f>
        <v/>
      </c>
      <c r="K20" s="17" t="str">
        <f aca="false">IF(RegisterPush!B20="","",RegisterPush!K20)</f>
        <v/>
      </c>
      <c r="L20" s="17" t="str">
        <f aca="false">IF(B20="","",IF(RegisterPush!L20&lt;&gt;"",RegisterPush!L20,IF(OR(J20="CIOS→MIOS",J20="CIOS→MIOS+OHOS"),"Yes","No")))</f>
        <v/>
      </c>
      <c r="M20" s="17" t="str">
        <f aca="false">IF(B20="","",IF(RegisterPush!M20&lt;&gt;"",RegisterPush!M20,IF(OR(J20="CIOS→OHOS",J20="CIOS→MIOS+OHOS"),"Yes","No")))</f>
        <v/>
      </c>
      <c r="N20" s="17" t="str">
        <f aca="false">IF(B20="","",G20*H20)</f>
        <v/>
      </c>
      <c r="O20" s="17" t="str">
        <f aca="false">IF(B20="","",ActorReactionMatrix!M20)</f>
        <v/>
      </c>
      <c r="P20" s="12" t="n">
        <f aca="false">IF(B20="",1,IF(I20="",1,I20))</f>
        <v>1</v>
      </c>
      <c r="Q20" s="12" t="str">
        <f aca="false">IF(B20="","",ABS(O20))</f>
        <v/>
      </c>
    </row>
    <row r="21" customFormat="false" ht="15" hidden="false" customHeight="true" outlineLevel="0" collapsed="false">
      <c r="A21" s="17" t="str">
        <f aca="false">IF(RegisterPush!B21="","",IF(RegisterPush!A21&lt;&gt;"",RegisterPush!A21,RegisterPush!B21))</f>
        <v/>
      </c>
      <c r="B21" s="17" t="str">
        <f aca="false">IF(RegisterPush!B21="","",RegisterPush!B21)</f>
        <v/>
      </c>
      <c r="C21" s="17" t="str">
        <f aca="false">IF(RegisterPush!B21="","",RegisterPush!C21)</f>
        <v/>
      </c>
      <c r="D21" s="17" t="str">
        <f aca="false">IF(RegisterPush!B21="","",RegisterPush!D21)</f>
        <v/>
      </c>
      <c r="E21" s="17" t="str">
        <f aca="false">IF(RegisterPush!B21="","",RegisterPush!E21)</f>
        <v/>
      </c>
      <c r="F21" s="17" t="str">
        <f aca="false">IF(RegisterPush!B21="","",RegisterPush!F21)</f>
        <v/>
      </c>
      <c r="G21" s="17" t="str">
        <f aca="false">IF(RegisterPush!B21="","",RegisterPush!G21)</f>
        <v/>
      </c>
      <c r="H21" s="17" t="str">
        <f aca="false">IF(RegisterPush!B21="","",RegisterPush!H21)</f>
        <v/>
      </c>
      <c r="I21" s="17" t="str">
        <f aca="false">IF(RegisterPush!B21="","",RegisterPush!I21)</f>
        <v/>
      </c>
      <c r="J21" s="17" t="str">
        <f aca="false">IF(RegisterPush!B21="","",RegisterPush!J21)</f>
        <v/>
      </c>
      <c r="K21" s="17" t="str">
        <f aca="false">IF(RegisterPush!B21="","",RegisterPush!K21)</f>
        <v/>
      </c>
      <c r="L21" s="17" t="str">
        <f aca="false">IF(B21="","",IF(RegisterPush!L21&lt;&gt;"",RegisterPush!L21,IF(OR(J21="CIOS→MIOS",J21="CIOS→MIOS+OHOS"),"Yes","No")))</f>
        <v/>
      </c>
      <c r="M21" s="17" t="str">
        <f aca="false">IF(B21="","",IF(RegisterPush!M21&lt;&gt;"",RegisterPush!M21,IF(OR(J21="CIOS→OHOS",J21="CIOS→MIOS+OHOS"),"Yes","No")))</f>
        <v/>
      </c>
      <c r="N21" s="17" t="str">
        <f aca="false">IF(B21="","",G21*H21)</f>
        <v/>
      </c>
      <c r="O21" s="17" t="str">
        <f aca="false">IF(B21="","",ActorReactionMatrix!M21)</f>
        <v/>
      </c>
      <c r="P21" s="12" t="n">
        <f aca="false">IF(B21="",1,IF(I21="",1,I21))</f>
        <v>1</v>
      </c>
      <c r="Q21" s="12" t="str">
        <f aca="false">IF(B21="","",ABS(O21))</f>
        <v/>
      </c>
    </row>
    <row r="22" customFormat="false" ht="15" hidden="false" customHeight="true" outlineLevel="0" collapsed="false">
      <c r="A22" s="17" t="str">
        <f aca="false">IF(RegisterPush!B22="","",IF(RegisterPush!A22&lt;&gt;"",RegisterPush!A22,RegisterPush!B22))</f>
        <v/>
      </c>
      <c r="B22" s="17" t="str">
        <f aca="false">IF(RegisterPush!B22="","",RegisterPush!B22)</f>
        <v/>
      </c>
      <c r="C22" s="17" t="str">
        <f aca="false">IF(RegisterPush!B22="","",RegisterPush!C22)</f>
        <v/>
      </c>
      <c r="D22" s="17" t="str">
        <f aca="false">IF(RegisterPush!B22="","",RegisterPush!D22)</f>
        <v/>
      </c>
      <c r="E22" s="17" t="str">
        <f aca="false">IF(RegisterPush!B22="","",RegisterPush!E22)</f>
        <v/>
      </c>
      <c r="F22" s="17" t="str">
        <f aca="false">IF(RegisterPush!B22="","",RegisterPush!F22)</f>
        <v/>
      </c>
      <c r="G22" s="17" t="str">
        <f aca="false">IF(RegisterPush!B22="","",RegisterPush!G22)</f>
        <v/>
      </c>
      <c r="H22" s="17" t="str">
        <f aca="false">IF(RegisterPush!B22="","",RegisterPush!H22)</f>
        <v/>
      </c>
      <c r="I22" s="17" t="str">
        <f aca="false">IF(RegisterPush!B22="","",RegisterPush!I22)</f>
        <v/>
      </c>
      <c r="J22" s="17" t="str">
        <f aca="false">IF(RegisterPush!B22="","",RegisterPush!J22)</f>
        <v/>
      </c>
      <c r="K22" s="17" t="str">
        <f aca="false">IF(RegisterPush!B22="","",RegisterPush!K22)</f>
        <v/>
      </c>
      <c r="L22" s="17" t="str">
        <f aca="false">IF(B22="","",IF(RegisterPush!L22&lt;&gt;"",RegisterPush!L22,IF(OR(J22="CIOS→MIOS",J22="CIOS→MIOS+OHOS"),"Yes","No")))</f>
        <v/>
      </c>
      <c r="M22" s="17" t="str">
        <f aca="false">IF(B22="","",IF(RegisterPush!M22&lt;&gt;"",RegisterPush!M22,IF(OR(J22="CIOS→OHOS",J22="CIOS→MIOS+OHOS"),"Yes","No")))</f>
        <v/>
      </c>
      <c r="N22" s="17" t="str">
        <f aca="false">IF(B22="","",G22*H22)</f>
        <v/>
      </c>
      <c r="O22" s="17" t="str">
        <f aca="false">IF(B22="","",ActorReactionMatrix!M22)</f>
        <v/>
      </c>
      <c r="P22" s="12" t="n">
        <f aca="false">IF(B22="",1,IF(I22="",1,I22))</f>
        <v>1</v>
      </c>
      <c r="Q22" s="12" t="str">
        <f aca="false">IF(B22="","",ABS(O22))</f>
        <v/>
      </c>
    </row>
    <row r="23" customFormat="false" ht="15" hidden="false" customHeight="true" outlineLevel="0" collapsed="false">
      <c r="A23" s="17" t="str">
        <f aca="false">IF(RegisterPush!B23="","",IF(RegisterPush!A23&lt;&gt;"",RegisterPush!A23,RegisterPush!B23))</f>
        <v/>
      </c>
      <c r="B23" s="17" t="str">
        <f aca="false">IF(RegisterPush!B23="","",RegisterPush!B23)</f>
        <v/>
      </c>
      <c r="C23" s="17" t="str">
        <f aca="false">IF(RegisterPush!B23="","",RegisterPush!C23)</f>
        <v/>
      </c>
      <c r="D23" s="17" t="str">
        <f aca="false">IF(RegisterPush!B23="","",RegisterPush!D23)</f>
        <v/>
      </c>
      <c r="E23" s="17" t="str">
        <f aca="false">IF(RegisterPush!B23="","",RegisterPush!E23)</f>
        <v/>
      </c>
      <c r="F23" s="17" t="str">
        <f aca="false">IF(RegisterPush!B23="","",RegisterPush!F23)</f>
        <v/>
      </c>
      <c r="G23" s="17" t="str">
        <f aca="false">IF(RegisterPush!B23="","",RegisterPush!G23)</f>
        <v/>
      </c>
      <c r="H23" s="17" t="str">
        <f aca="false">IF(RegisterPush!B23="","",RegisterPush!H23)</f>
        <v/>
      </c>
      <c r="I23" s="17" t="str">
        <f aca="false">IF(RegisterPush!B23="","",RegisterPush!I23)</f>
        <v/>
      </c>
      <c r="J23" s="17" t="str">
        <f aca="false">IF(RegisterPush!B23="","",RegisterPush!J23)</f>
        <v/>
      </c>
      <c r="K23" s="17" t="str">
        <f aca="false">IF(RegisterPush!B23="","",RegisterPush!K23)</f>
        <v/>
      </c>
      <c r="L23" s="17" t="str">
        <f aca="false">IF(B23="","",IF(RegisterPush!L23&lt;&gt;"",RegisterPush!L23,IF(OR(J23="CIOS→MIOS",J23="CIOS→MIOS+OHOS"),"Yes","No")))</f>
        <v/>
      </c>
      <c r="M23" s="17" t="str">
        <f aca="false">IF(B23="","",IF(RegisterPush!M23&lt;&gt;"",RegisterPush!M23,IF(OR(J23="CIOS→OHOS",J23="CIOS→MIOS+OHOS"),"Yes","No")))</f>
        <v/>
      </c>
      <c r="N23" s="17" t="str">
        <f aca="false">IF(B23="","",G23*H23)</f>
        <v/>
      </c>
      <c r="O23" s="17" t="str">
        <f aca="false">IF(B23="","",ActorReactionMatrix!M23)</f>
        <v/>
      </c>
      <c r="P23" s="12" t="n">
        <f aca="false">IF(B23="",1,IF(I23="",1,I23))</f>
        <v>1</v>
      </c>
      <c r="Q23" s="12" t="str">
        <f aca="false">IF(B23="","",ABS(O23))</f>
        <v/>
      </c>
    </row>
    <row r="24" customFormat="false" ht="15" hidden="false" customHeight="true" outlineLevel="0" collapsed="false">
      <c r="A24" s="17" t="str">
        <f aca="false">IF(RegisterPush!B24="","",IF(RegisterPush!A24&lt;&gt;"",RegisterPush!A24,RegisterPush!B24))</f>
        <v/>
      </c>
      <c r="B24" s="17" t="str">
        <f aca="false">IF(RegisterPush!B24="","",RegisterPush!B24)</f>
        <v/>
      </c>
      <c r="C24" s="17" t="str">
        <f aca="false">IF(RegisterPush!B24="","",RegisterPush!C24)</f>
        <v/>
      </c>
      <c r="D24" s="17" t="str">
        <f aca="false">IF(RegisterPush!B24="","",RegisterPush!D24)</f>
        <v/>
      </c>
      <c r="E24" s="17" t="str">
        <f aca="false">IF(RegisterPush!B24="","",RegisterPush!E24)</f>
        <v/>
      </c>
      <c r="F24" s="17" t="str">
        <f aca="false">IF(RegisterPush!B24="","",RegisterPush!F24)</f>
        <v/>
      </c>
      <c r="G24" s="17" t="str">
        <f aca="false">IF(RegisterPush!B24="","",RegisterPush!G24)</f>
        <v/>
      </c>
      <c r="H24" s="17" t="str">
        <f aca="false">IF(RegisterPush!B24="","",RegisterPush!H24)</f>
        <v/>
      </c>
      <c r="I24" s="17" t="str">
        <f aca="false">IF(RegisterPush!B24="","",RegisterPush!I24)</f>
        <v/>
      </c>
      <c r="J24" s="17" t="str">
        <f aca="false">IF(RegisterPush!B24="","",RegisterPush!J24)</f>
        <v/>
      </c>
      <c r="K24" s="17" t="str">
        <f aca="false">IF(RegisterPush!B24="","",RegisterPush!K24)</f>
        <v/>
      </c>
      <c r="L24" s="17" t="str">
        <f aca="false">IF(B24="","",IF(RegisterPush!L24&lt;&gt;"",RegisterPush!L24,IF(OR(J24="CIOS→MIOS",J24="CIOS→MIOS+OHOS"),"Yes","No")))</f>
        <v/>
      </c>
      <c r="M24" s="17" t="str">
        <f aca="false">IF(B24="","",IF(RegisterPush!M24&lt;&gt;"",RegisterPush!M24,IF(OR(J24="CIOS→OHOS",J24="CIOS→MIOS+OHOS"),"Yes","No")))</f>
        <v/>
      </c>
      <c r="N24" s="17" t="str">
        <f aca="false">IF(B24="","",G24*H24)</f>
        <v/>
      </c>
      <c r="O24" s="17" t="str">
        <f aca="false">IF(B24="","",ActorReactionMatrix!M24)</f>
        <v/>
      </c>
      <c r="P24" s="12" t="n">
        <f aca="false">IF(B24="",1,IF(I24="",1,I24))</f>
        <v>1</v>
      </c>
      <c r="Q24" s="12" t="str">
        <f aca="false">IF(B24="","",ABS(O24))</f>
        <v/>
      </c>
    </row>
    <row r="25" customFormat="false" ht="15" hidden="false" customHeight="true" outlineLevel="0" collapsed="false">
      <c r="A25" s="17" t="str">
        <f aca="false">IF(RegisterPush!B25="","",IF(RegisterPush!A25&lt;&gt;"",RegisterPush!A25,RegisterPush!B25))</f>
        <v/>
      </c>
      <c r="B25" s="17" t="str">
        <f aca="false">IF(RegisterPush!B25="","",RegisterPush!B25)</f>
        <v/>
      </c>
      <c r="C25" s="17" t="str">
        <f aca="false">IF(RegisterPush!B25="","",RegisterPush!C25)</f>
        <v/>
      </c>
      <c r="D25" s="17" t="str">
        <f aca="false">IF(RegisterPush!B25="","",RegisterPush!D25)</f>
        <v/>
      </c>
      <c r="E25" s="17" t="str">
        <f aca="false">IF(RegisterPush!B25="","",RegisterPush!E25)</f>
        <v/>
      </c>
      <c r="F25" s="17" t="str">
        <f aca="false">IF(RegisterPush!B25="","",RegisterPush!F25)</f>
        <v/>
      </c>
      <c r="G25" s="17" t="str">
        <f aca="false">IF(RegisterPush!B25="","",RegisterPush!G25)</f>
        <v/>
      </c>
      <c r="H25" s="17" t="str">
        <f aca="false">IF(RegisterPush!B25="","",RegisterPush!H25)</f>
        <v/>
      </c>
      <c r="I25" s="17" t="str">
        <f aca="false">IF(RegisterPush!B25="","",RegisterPush!I25)</f>
        <v/>
      </c>
      <c r="J25" s="17" t="str">
        <f aca="false">IF(RegisterPush!B25="","",RegisterPush!J25)</f>
        <v/>
      </c>
      <c r="K25" s="17" t="str">
        <f aca="false">IF(RegisterPush!B25="","",RegisterPush!K25)</f>
        <v/>
      </c>
      <c r="L25" s="17" t="str">
        <f aca="false">IF(B25="","",IF(RegisterPush!L25&lt;&gt;"",RegisterPush!L25,IF(OR(J25="CIOS→MIOS",J25="CIOS→MIOS+OHOS"),"Yes","No")))</f>
        <v/>
      </c>
      <c r="M25" s="17" t="str">
        <f aca="false">IF(B25="","",IF(RegisterPush!M25&lt;&gt;"",RegisterPush!M25,IF(OR(J25="CIOS→OHOS",J25="CIOS→MIOS+OHOS"),"Yes","No")))</f>
        <v/>
      </c>
      <c r="N25" s="17" t="str">
        <f aca="false">IF(B25="","",G25*H25)</f>
        <v/>
      </c>
      <c r="O25" s="17" t="str">
        <f aca="false">IF(B25="","",ActorReactionMatrix!M25)</f>
        <v/>
      </c>
      <c r="P25" s="12" t="n">
        <f aca="false">IF(B25="",1,IF(I25="",1,I25))</f>
        <v>1</v>
      </c>
      <c r="Q25" s="12" t="str">
        <f aca="false">IF(B25="","",ABS(O25))</f>
        <v/>
      </c>
    </row>
    <row r="26" customFormat="false" ht="15" hidden="false" customHeight="true" outlineLevel="0" collapsed="false">
      <c r="A26" s="17" t="str">
        <f aca="false">IF(RegisterPush!B26="","",IF(RegisterPush!A26&lt;&gt;"",RegisterPush!A26,RegisterPush!B26))</f>
        <v/>
      </c>
      <c r="B26" s="17" t="str">
        <f aca="false">IF(RegisterPush!B26="","",RegisterPush!B26)</f>
        <v/>
      </c>
      <c r="C26" s="17" t="str">
        <f aca="false">IF(RegisterPush!B26="","",RegisterPush!C26)</f>
        <v/>
      </c>
      <c r="D26" s="17" t="str">
        <f aca="false">IF(RegisterPush!B26="","",RegisterPush!D26)</f>
        <v/>
      </c>
      <c r="E26" s="17" t="str">
        <f aca="false">IF(RegisterPush!B26="","",RegisterPush!E26)</f>
        <v/>
      </c>
      <c r="F26" s="17" t="str">
        <f aca="false">IF(RegisterPush!B26="","",RegisterPush!F26)</f>
        <v/>
      </c>
      <c r="G26" s="17" t="str">
        <f aca="false">IF(RegisterPush!B26="","",RegisterPush!G26)</f>
        <v/>
      </c>
      <c r="H26" s="17" t="str">
        <f aca="false">IF(RegisterPush!B26="","",RegisterPush!H26)</f>
        <v/>
      </c>
      <c r="I26" s="17" t="str">
        <f aca="false">IF(RegisterPush!B26="","",RegisterPush!I26)</f>
        <v/>
      </c>
      <c r="J26" s="17" t="str">
        <f aca="false">IF(RegisterPush!B26="","",RegisterPush!J26)</f>
        <v/>
      </c>
      <c r="K26" s="17" t="str">
        <f aca="false">IF(RegisterPush!B26="","",RegisterPush!K26)</f>
        <v/>
      </c>
      <c r="L26" s="17" t="str">
        <f aca="false">IF(B26="","",IF(RegisterPush!L26&lt;&gt;"",RegisterPush!L26,IF(OR(J26="CIOS→MIOS",J26="CIOS→MIOS+OHOS"),"Yes","No")))</f>
        <v/>
      </c>
      <c r="M26" s="17" t="str">
        <f aca="false">IF(B26="","",IF(RegisterPush!M26&lt;&gt;"",RegisterPush!M26,IF(OR(J26="CIOS→OHOS",J26="CIOS→MIOS+OHOS"),"Yes","No")))</f>
        <v/>
      </c>
      <c r="N26" s="17" t="str">
        <f aca="false">IF(B26="","",G26*H26)</f>
        <v/>
      </c>
      <c r="O26" s="17" t="str">
        <f aca="false">IF(B26="","",ActorReactionMatrix!M26)</f>
        <v/>
      </c>
      <c r="P26" s="12" t="n">
        <f aca="false">IF(B26="",1,IF(I26="",1,I26))</f>
        <v>1</v>
      </c>
      <c r="Q26" s="12" t="str">
        <f aca="false">IF(B26="","",ABS(O26))</f>
        <v/>
      </c>
    </row>
    <row r="27" customFormat="false" ht="15" hidden="false" customHeight="true" outlineLevel="0" collapsed="false">
      <c r="A27" s="17" t="str">
        <f aca="false">IF(RegisterPush!B27="","",IF(RegisterPush!A27&lt;&gt;"",RegisterPush!A27,RegisterPush!B27))</f>
        <v/>
      </c>
      <c r="B27" s="17" t="str">
        <f aca="false">IF(RegisterPush!B27="","",RegisterPush!B27)</f>
        <v/>
      </c>
      <c r="C27" s="17" t="str">
        <f aca="false">IF(RegisterPush!B27="","",RegisterPush!C27)</f>
        <v/>
      </c>
      <c r="D27" s="17" t="str">
        <f aca="false">IF(RegisterPush!B27="","",RegisterPush!D27)</f>
        <v/>
      </c>
      <c r="E27" s="17" t="str">
        <f aca="false">IF(RegisterPush!B27="","",RegisterPush!E27)</f>
        <v/>
      </c>
      <c r="F27" s="17" t="str">
        <f aca="false">IF(RegisterPush!B27="","",RegisterPush!F27)</f>
        <v/>
      </c>
      <c r="G27" s="17" t="str">
        <f aca="false">IF(RegisterPush!B27="","",RegisterPush!G27)</f>
        <v/>
      </c>
      <c r="H27" s="17" t="str">
        <f aca="false">IF(RegisterPush!B27="","",RegisterPush!H27)</f>
        <v/>
      </c>
      <c r="I27" s="17" t="str">
        <f aca="false">IF(RegisterPush!B27="","",RegisterPush!I27)</f>
        <v/>
      </c>
      <c r="J27" s="17" t="str">
        <f aca="false">IF(RegisterPush!B27="","",RegisterPush!J27)</f>
        <v/>
      </c>
      <c r="K27" s="17" t="str">
        <f aca="false">IF(RegisterPush!B27="","",RegisterPush!K27)</f>
        <v/>
      </c>
      <c r="L27" s="17" t="str">
        <f aca="false">IF(B27="","",IF(RegisterPush!L27&lt;&gt;"",RegisterPush!L27,IF(OR(J27="CIOS→MIOS",J27="CIOS→MIOS+OHOS"),"Yes","No")))</f>
        <v/>
      </c>
      <c r="M27" s="17" t="str">
        <f aca="false">IF(B27="","",IF(RegisterPush!M27&lt;&gt;"",RegisterPush!M27,IF(OR(J27="CIOS→OHOS",J27="CIOS→MIOS+OHOS"),"Yes","No")))</f>
        <v/>
      </c>
      <c r="N27" s="17" t="str">
        <f aca="false">IF(B27="","",G27*H27)</f>
        <v/>
      </c>
      <c r="O27" s="17" t="str">
        <f aca="false">IF(B27="","",ActorReactionMatrix!M27)</f>
        <v/>
      </c>
      <c r="P27" s="12" t="n">
        <f aca="false">IF(B27="",1,IF(I27="",1,I27))</f>
        <v>1</v>
      </c>
      <c r="Q27" s="12" t="str">
        <f aca="false">IF(B27="","",ABS(O27))</f>
        <v/>
      </c>
    </row>
    <row r="28" customFormat="false" ht="15" hidden="false" customHeight="true" outlineLevel="0" collapsed="false">
      <c r="A28" s="17" t="str">
        <f aca="false">IF(RegisterPush!B28="","",IF(RegisterPush!A28&lt;&gt;"",RegisterPush!A28,RegisterPush!B28))</f>
        <v/>
      </c>
      <c r="B28" s="17" t="str">
        <f aca="false">IF(RegisterPush!B28="","",RegisterPush!B28)</f>
        <v/>
      </c>
      <c r="C28" s="17" t="str">
        <f aca="false">IF(RegisterPush!B28="","",RegisterPush!C28)</f>
        <v/>
      </c>
      <c r="D28" s="17" t="str">
        <f aca="false">IF(RegisterPush!B28="","",RegisterPush!D28)</f>
        <v/>
      </c>
      <c r="E28" s="17" t="str">
        <f aca="false">IF(RegisterPush!B28="","",RegisterPush!E28)</f>
        <v/>
      </c>
      <c r="F28" s="17" t="str">
        <f aca="false">IF(RegisterPush!B28="","",RegisterPush!F28)</f>
        <v/>
      </c>
      <c r="G28" s="17" t="str">
        <f aca="false">IF(RegisterPush!B28="","",RegisterPush!G28)</f>
        <v/>
      </c>
      <c r="H28" s="17" t="str">
        <f aca="false">IF(RegisterPush!B28="","",RegisterPush!H28)</f>
        <v/>
      </c>
      <c r="I28" s="17" t="str">
        <f aca="false">IF(RegisterPush!B28="","",RegisterPush!I28)</f>
        <v/>
      </c>
      <c r="J28" s="17" t="str">
        <f aca="false">IF(RegisterPush!B28="","",RegisterPush!J28)</f>
        <v/>
      </c>
      <c r="K28" s="17" t="str">
        <f aca="false">IF(RegisterPush!B28="","",RegisterPush!K28)</f>
        <v/>
      </c>
      <c r="L28" s="17" t="str">
        <f aca="false">IF(B28="","",IF(RegisterPush!L28&lt;&gt;"",RegisterPush!L28,IF(OR(J28="CIOS→MIOS",J28="CIOS→MIOS+OHOS"),"Yes","No")))</f>
        <v/>
      </c>
      <c r="M28" s="17" t="str">
        <f aca="false">IF(B28="","",IF(RegisterPush!M28&lt;&gt;"",RegisterPush!M28,IF(OR(J28="CIOS→OHOS",J28="CIOS→MIOS+OHOS"),"Yes","No")))</f>
        <v/>
      </c>
      <c r="N28" s="17" t="str">
        <f aca="false">IF(B28="","",G28*H28)</f>
        <v/>
      </c>
      <c r="O28" s="17" t="str">
        <f aca="false">IF(B28="","",ActorReactionMatrix!M28)</f>
        <v/>
      </c>
      <c r="P28" s="12" t="n">
        <f aca="false">IF(B28="",1,IF(I28="",1,I28))</f>
        <v>1</v>
      </c>
      <c r="Q28" s="12" t="str">
        <f aca="false">IF(B28="","",ABS(O28))</f>
        <v/>
      </c>
    </row>
    <row r="29" customFormat="false" ht="15" hidden="false" customHeight="true" outlineLevel="0" collapsed="false">
      <c r="A29" s="17" t="str">
        <f aca="false">IF(RegisterPush!B29="","",IF(RegisterPush!A29&lt;&gt;"",RegisterPush!A29,RegisterPush!B29))</f>
        <v/>
      </c>
      <c r="B29" s="17" t="str">
        <f aca="false">IF(RegisterPush!B29="","",RegisterPush!B29)</f>
        <v/>
      </c>
      <c r="C29" s="17" t="str">
        <f aca="false">IF(RegisterPush!B29="","",RegisterPush!C29)</f>
        <v/>
      </c>
      <c r="D29" s="17" t="str">
        <f aca="false">IF(RegisterPush!B29="","",RegisterPush!D29)</f>
        <v/>
      </c>
      <c r="E29" s="17" t="str">
        <f aca="false">IF(RegisterPush!B29="","",RegisterPush!E29)</f>
        <v/>
      </c>
      <c r="F29" s="17" t="str">
        <f aca="false">IF(RegisterPush!B29="","",RegisterPush!F29)</f>
        <v/>
      </c>
      <c r="G29" s="17" t="str">
        <f aca="false">IF(RegisterPush!B29="","",RegisterPush!G29)</f>
        <v/>
      </c>
      <c r="H29" s="17" t="str">
        <f aca="false">IF(RegisterPush!B29="","",RegisterPush!H29)</f>
        <v/>
      </c>
      <c r="I29" s="17" t="str">
        <f aca="false">IF(RegisterPush!B29="","",RegisterPush!I29)</f>
        <v/>
      </c>
      <c r="J29" s="17" t="str">
        <f aca="false">IF(RegisterPush!B29="","",RegisterPush!J29)</f>
        <v/>
      </c>
      <c r="K29" s="17" t="str">
        <f aca="false">IF(RegisterPush!B29="","",RegisterPush!K29)</f>
        <v/>
      </c>
      <c r="L29" s="17" t="str">
        <f aca="false">IF(B29="","",IF(RegisterPush!L29&lt;&gt;"",RegisterPush!L29,IF(OR(J29="CIOS→MIOS",J29="CIOS→MIOS+OHOS"),"Yes","No")))</f>
        <v/>
      </c>
      <c r="M29" s="17" t="str">
        <f aca="false">IF(B29="","",IF(RegisterPush!M29&lt;&gt;"",RegisterPush!M29,IF(OR(J29="CIOS→OHOS",J29="CIOS→MIOS+OHOS"),"Yes","No")))</f>
        <v/>
      </c>
      <c r="N29" s="17" t="str">
        <f aca="false">IF(B29="","",G29*H29)</f>
        <v/>
      </c>
      <c r="O29" s="17" t="str">
        <f aca="false">IF(B29="","",ActorReactionMatrix!M29)</f>
        <v/>
      </c>
      <c r="P29" s="12" t="n">
        <f aca="false">IF(B29="",1,IF(I29="",1,I29))</f>
        <v>1</v>
      </c>
      <c r="Q29" s="12" t="str">
        <f aca="false">IF(B29="","",ABS(O29))</f>
        <v/>
      </c>
    </row>
    <row r="30" customFormat="false" ht="15" hidden="false" customHeight="true" outlineLevel="0" collapsed="false">
      <c r="A30" s="17" t="str">
        <f aca="false">IF(RegisterPush!B30="","",IF(RegisterPush!A30&lt;&gt;"",RegisterPush!A30,RegisterPush!B30))</f>
        <v/>
      </c>
      <c r="B30" s="17" t="str">
        <f aca="false">IF(RegisterPush!B30="","",RegisterPush!B30)</f>
        <v/>
      </c>
      <c r="C30" s="17" t="str">
        <f aca="false">IF(RegisterPush!B30="","",RegisterPush!C30)</f>
        <v/>
      </c>
      <c r="D30" s="17" t="str">
        <f aca="false">IF(RegisterPush!B30="","",RegisterPush!D30)</f>
        <v/>
      </c>
      <c r="E30" s="17" t="str">
        <f aca="false">IF(RegisterPush!B30="","",RegisterPush!E30)</f>
        <v/>
      </c>
      <c r="F30" s="17" t="str">
        <f aca="false">IF(RegisterPush!B30="","",RegisterPush!F30)</f>
        <v/>
      </c>
      <c r="G30" s="17" t="str">
        <f aca="false">IF(RegisterPush!B30="","",RegisterPush!G30)</f>
        <v/>
      </c>
      <c r="H30" s="17" t="str">
        <f aca="false">IF(RegisterPush!B30="","",RegisterPush!H30)</f>
        <v/>
      </c>
      <c r="I30" s="17" t="str">
        <f aca="false">IF(RegisterPush!B30="","",RegisterPush!I30)</f>
        <v/>
      </c>
      <c r="J30" s="17" t="str">
        <f aca="false">IF(RegisterPush!B30="","",RegisterPush!J30)</f>
        <v/>
      </c>
      <c r="K30" s="17" t="str">
        <f aca="false">IF(RegisterPush!B30="","",RegisterPush!K30)</f>
        <v/>
      </c>
      <c r="L30" s="17" t="str">
        <f aca="false">IF(B30="","",IF(RegisterPush!L30&lt;&gt;"",RegisterPush!L30,IF(OR(J30="CIOS→MIOS",J30="CIOS→MIOS+OHOS"),"Yes","No")))</f>
        <v/>
      </c>
      <c r="M30" s="17" t="str">
        <f aca="false">IF(B30="","",IF(RegisterPush!M30&lt;&gt;"",RegisterPush!M30,IF(OR(J30="CIOS→OHOS",J30="CIOS→MIOS+OHOS"),"Yes","No")))</f>
        <v/>
      </c>
      <c r="N30" s="17" t="str">
        <f aca="false">IF(B30="","",G30*H30)</f>
        <v/>
      </c>
      <c r="O30" s="17" t="str">
        <f aca="false">IF(B30="","",ActorReactionMatrix!M30)</f>
        <v/>
      </c>
      <c r="P30" s="12" t="n">
        <f aca="false">IF(B30="",1,IF(I30="",1,I30))</f>
        <v>1</v>
      </c>
      <c r="Q30" s="12" t="str">
        <f aca="false">IF(B30="","",ABS(O30))</f>
        <v/>
      </c>
    </row>
    <row r="31" customFormat="false" ht="15" hidden="false" customHeight="true" outlineLevel="0" collapsed="false">
      <c r="A31" s="17" t="str">
        <f aca="false">IF(RegisterPush!B31="","",IF(RegisterPush!A31&lt;&gt;"",RegisterPush!A31,RegisterPush!B31))</f>
        <v/>
      </c>
      <c r="B31" s="17" t="str">
        <f aca="false">IF(RegisterPush!B31="","",RegisterPush!B31)</f>
        <v/>
      </c>
      <c r="C31" s="17" t="str">
        <f aca="false">IF(RegisterPush!B31="","",RegisterPush!C31)</f>
        <v/>
      </c>
      <c r="D31" s="17" t="str">
        <f aca="false">IF(RegisterPush!B31="","",RegisterPush!D31)</f>
        <v/>
      </c>
      <c r="E31" s="17" t="str">
        <f aca="false">IF(RegisterPush!B31="","",RegisterPush!E31)</f>
        <v/>
      </c>
      <c r="F31" s="17" t="str">
        <f aca="false">IF(RegisterPush!B31="","",RegisterPush!F31)</f>
        <v/>
      </c>
      <c r="G31" s="17" t="str">
        <f aca="false">IF(RegisterPush!B31="","",RegisterPush!G31)</f>
        <v/>
      </c>
      <c r="H31" s="17" t="str">
        <f aca="false">IF(RegisterPush!B31="","",RegisterPush!H31)</f>
        <v/>
      </c>
      <c r="I31" s="17" t="str">
        <f aca="false">IF(RegisterPush!B31="","",RegisterPush!I31)</f>
        <v/>
      </c>
      <c r="J31" s="17" t="str">
        <f aca="false">IF(RegisterPush!B31="","",RegisterPush!J31)</f>
        <v/>
      </c>
      <c r="K31" s="17" t="str">
        <f aca="false">IF(RegisterPush!B31="","",RegisterPush!K31)</f>
        <v/>
      </c>
      <c r="L31" s="17" t="str">
        <f aca="false">IF(B31="","",IF(RegisterPush!L31&lt;&gt;"",RegisterPush!L31,IF(OR(J31="CIOS→MIOS",J31="CIOS→MIOS+OHOS"),"Yes","No")))</f>
        <v/>
      </c>
      <c r="M31" s="17" t="str">
        <f aca="false">IF(B31="","",IF(RegisterPush!M31&lt;&gt;"",RegisterPush!M31,IF(OR(J31="CIOS→OHOS",J31="CIOS→MIOS+OHOS"),"Yes","No")))</f>
        <v/>
      </c>
      <c r="N31" s="17" t="str">
        <f aca="false">IF(B31="","",G31*H31)</f>
        <v/>
      </c>
      <c r="O31" s="17" t="str">
        <f aca="false">IF(B31="","",ActorReactionMatrix!M31)</f>
        <v/>
      </c>
      <c r="P31" s="12" t="n">
        <f aca="false">IF(B31="",1,IF(I31="",1,I31))</f>
        <v>1</v>
      </c>
      <c r="Q31" s="12" t="str">
        <f aca="false">IF(B31="","",ABS(O31))</f>
        <v/>
      </c>
    </row>
    <row r="32" customFormat="false" ht="15" hidden="false" customHeight="true" outlineLevel="0" collapsed="false">
      <c r="A32" s="17" t="str">
        <f aca="false">IF(RegisterPush!B32="","",IF(RegisterPush!A32&lt;&gt;"",RegisterPush!A32,RegisterPush!B32))</f>
        <v/>
      </c>
      <c r="B32" s="17" t="str">
        <f aca="false">IF(RegisterPush!B32="","",RegisterPush!B32)</f>
        <v/>
      </c>
      <c r="C32" s="17" t="str">
        <f aca="false">IF(RegisterPush!B32="","",RegisterPush!C32)</f>
        <v/>
      </c>
      <c r="D32" s="17" t="str">
        <f aca="false">IF(RegisterPush!B32="","",RegisterPush!D32)</f>
        <v/>
      </c>
      <c r="E32" s="17" t="str">
        <f aca="false">IF(RegisterPush!B32="","",RegisterPush!E32)</f>
        <v/>
      </c>
      <c r="F32" s="17" t="str">
        <f aca="false">IF(RegisterPush!B32="","",RegisterPush!F32)</f>
        <v/>
      </c>
      <c r="G32" s="17" t="str">
        <f aca="false">IF(RegisterPush!B32="","",RegisterPush!G32)</f>
        <v/>
      </c>
      <c r="H32" s="17" t="str">
        <f aca="false">IF(RegisterPush!B32="","",RegisterPush!H32)</f>
        <v/>
      </c>
      <c r="I32" s="17" t="str">
        <f aca="false">IF(RegisterPush!B32="","",RegisterPush!I32)</f>
        <v/>
      </c>
      <c r="J32" s="17" t="str">
        <f aca="false">IF(RegisterPush!B32="","",RegisterPush!J32)</f>
        <v/>
      </c>
      <c r="K32" s="17" t="str">
        <f aca="false">IF(RegisterPush!B32="","",RegisterPush!K32)</f>
        <v/>
      </c>
      <c r="L32" s="17" t="str">
        <f aca="false">IF(B32="","",IF(RegisterPush!L32&lt;&gt;"",RegisterPush!L32,IF(OR(J32="CIOS→MIOS",J32="CIOS→MIOS+OHOS"),"Yes","No")))</f>
        <v/>
      </c>
      <c r="M32" s="17" t="str">
        <f aca="false">IF(B32="","",IF(RegisterPush!M32&lt;&gt;"",RegisterPush!M32,IF(OR(J32="CIOS→OHOS",J32="CIOS→MIOS+OHOS"),"Yes","No")))</f>
        <v/>
      </c>
      <c r="N32" s="17" t="str">
        <f aca="false">IF(B32="","",G32*H32)</f>
        <v/>
      </c>
      <c r="O32" s="17" t="str">
        <f aca="false">IF(B32="","",ActorReactionMatrix!M32)</f>
        <v/>
      </c>
      <c r="P32" s="12" t="n">
        <f aca="false">IF(B32="",1,IF(I32="",1,I32))</f>
        <v>1</v>
      </c>
      <c r="Q32" s="12" t="str">
        <f aca="false">IF(B32="","",ABS(O32))</f>
        <v/>
      </c>
    </row>
    <row r="33" customFormat="false" ht="15" hidden="false" customHeight="true" outlineLevel="0" collapsed="false">
      <c r="A33" s="17" t="str">
        <f aca="false">IF(RegisterPush!B33="","",IF(RegisterPush!A33&lt;&gt;"",RegisterPush!A33,RegisterPush!B33))</f>
        <v/>
      </c>
      <c r="B33" s="17" t="str">
        <f aca="false">IF(RegisterPush!B33="","",RegisterPush!B33)</f>
        <v/>
      </c>
      <c r="C33" s="17" t="str">
        <f aca="false">IF(RegisterPush!B33="","",RegisterPush!C33)</f>
        <v/>
      </c>
      <c r="D33" s="17" t="str">
        <f aca="false">IF(RegisterPush!B33="","",RegisterPush!D33)</f>
        <v/>
      </c>
      <c r="E33" s="17" t="str">
        <f aca="false">IF(RegisterPush!B33="","",RegisterPush!E33)</f>
        <v/>
      </c>
      <c r="F33" s="17" t="str">
        <f aca="false">IF(RegisterPush!B33="","",RegisterPush!F33)</f>
        <v/>
      </c>
      <c r="G33" s="17" t="str">
        <f aca="false">IF(RegisterPush!B33="","",RegisterPush!G33)</f>
        <v/>
      </c>
      <c r="H33" s="17" t="str">
        <f aca="false">IF(RegisterPush!B33="","",RegisterPush!H33)</f>
        <v/>
      </c>
      <c r="I33" s="17" t="str">
        <f aca="false">IF(RegisterPush!B33="","",RegisterPush!I33)</f>
        <v/>
      </c>
      <c r="J33" s="17" t="str">
        <f aca="false">IF(RegisterPush!B33="","",RegisterPush!J33)</f>
        <v/>
      </c>
      <c r="K33" s="17" t="str">
        <f aca="false">IF(RegisterPush!B33="","",RegisterPush!K33)</f>
        <v/>
      </c>
      <c r="L33" s="17" t="str">
        <f aca="false">IF(B33="","",IF(RegisterPush!L33&lt;&gt;"",RegisterPush!L33,IF(OR(J33="CIOS→MIOS",J33="CIOS→MIOS+OHOS"),"Yes","No")))</f>
        <v/>
      </c>
      <c r="M33" s="17" t="str">
        <f aca="false">IF(B33="","",IF(RegisterPush!M33&lt;&gt;"",RegisterPush!M33,IF(OR(J33="CIOS→OHOS",J33="CIOS→MIOS+OHOS"),"Yes","No")))</f>
        <v/>
      </c>
      <c r="N33" s="17" t="str">
        <f aca="false">IF(B33="","",G33*H33)</f>
        <v/>
      </c>
      <c r="O33" s="17" t="str">
        <f aca="false">IF(B33="","",ActorReactionMatrix!M33)</f>
        <v/>
      </c>
      <c r="P33" s="12" t="n">
        <f aca="false">IF(B33="",1,IF(I33="",1,I33))</f>
        <v>1</v>
      </c>
      <c r="Q33" s="12" t="str">
        <f aca="false">IF(B33="","",ABS(O33))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4"/>
    <col collapsed="false" customWidth="true" hidden="false" outlineLevel="0" max="5" min="2" style="1" width="18"/>
    <col collapsed="false" customWidth="true" hidden="false" outlineLevel="0" max="6" min="6" style="1" width="70"/>
    <col collapsed="false" customWidth="true" hidden="false" outlineLevel="0" max="16" min="7" style="1" width="18"/>
    <col collapsed="false" customWidth="true" hidden="false" outlineLevel="0" max="17" min="17" style="0" width="20"/>
  </cols>
  <sheetData>
    <row r="1" customFormat="false" ht="17.25" hidden="false" customHeight="true" outlineLevel="0" collapsed="false">
      <c r="A1" s="15" t="s">
        <v>467</v>
      </c>
    </row>
    <row r="3" customFormat="false" ht="27.75" hidden="false" customHeight="true" outlineLevel="0" collapsed="false">
      <c r="A3" s="16" t="s">
        <v>468</v>
      </c>
      <c r="B3" s="16" t="s">
        <v>469</v>
      </c>
      <c r="C3" s="16" t="s">
        <v>470</v>
      </c>
      <c r="D3" s="16" t="s">
        <v>471</v>
      </c>
      <c r="E3" s="16" t="s">
        <v>472</v>
      </c>
      <c r="F3" s="16" t="s">
        <v>473</v>
      </c>
      <c r="G3" s="16" t="s">
        <v>474</v>
      </c>
      <c r="H3" s="16" t="s">
        <v>475</v>
      </c>
      <c r="I3" s="16" t="s">
        <v>476</v>
      </c>
      <c r="J3" s="16" t="s">
        <v>477</v>
      </c>
      <c r="K3" s="16" t="s">
        <v>478</v>
      </c>
      <c r="L3" s="16" t="s">
        <v>479</v>
      </c>
      <c r="O3" s="16" t="s">
        <v>480</v>
      </c>
      <c r="P3" s="16" t="s">
        <v>481</v>
      </c>
      <c r="Q3" s="21" t="s">
        <v>482</v>
      </c>
    </row>
    <row r="4" customFormat="false" ht="15" hidden="false" customHeight="true" outlineLevel="0" collapsed="false">
      <c r="A4" s="17" t="str">
        <f aca="false">IFERROR(INDEX(SpecialtyActorSets!$C$4:$C$45,MATCH(1,(SpecialtyActorSets!$A$4:$A$45=CaseHeader!$B$16)*(SpecialtyActorSets!$B$4:$B$45=1),0)),"")</f>
        <v>Academic KOLs</v>
      </c>
      <c r="B4" s="20" t="n">
        <f aca="false">IFERROR(L4/SUM($L$4:$L$9),G4)</f>
        <v>0.20368574199806</v>
      </c>
      <c r="C4" s="20" t="n">
        <f aca="false">O4*(1+IF(AND($Q4="Guideline Bodies",CaseHeader!$B$18="High"),0.1,IF(AND($Q4="Guideline Bodies",CaseHeader!$B$18="Low"),-0.1,0)))*(1+IF(AND($Q4="Payers / Access",CaseHeader!$B$17="Commercial-heavy"),0.06,IF(AND($Q4="Payers / Access",CaseHeader!$B$17="Medicaid-heavy"),-0.03,0)))*(1+IF(AND($Q4="Community Physicians",CaseHeader!$B$19="Entrenched standard of care"),-0.05,0))*(1+IF(AND($Q4="Competitor Counteraction",OR(CaseHeader!$B$19="Aggressive branded competitor",CaseHeader!$B$19="Crowded class / multiple competitors")),0.08,0))</f>
        <v>1.15</v>
      </c>
      <c r="D4" s="20" t="n">
        <f aca="false">P4*(1+IF(AND($Q4="Guideline Bodies",CaseHeader!$B$18="High"),-0.05,IF(AND($Q4="Guideline Bodies",CaseHeader!$B$18="Low"),0.05,0)))*(1+IF(AND($Q4="Payers / Access",CaseHeader!$B$17="Medicaid-heavy"),0.06,IF(AND($Q4="Payers / Access",CaseHeader!$B$17="Commercial-heavy"),0.03,0)))*(1+IF(AND($Q4="Community Physicians",CaseHeader!$B$19="Entrenched standard of care"),0.08,0))*(1+IF(AND($Q4="Competitor Counteraction",OR(CaseHeader!$B$19="Aggressive branded competitor",CaseHeader!$B$19="Crowded class / multiple competitors")),0.1,IF(AND($Q4="Competitor Counteraction",CaseHeader!$B$19="Whitespace / limited direct competition"),-0.08,0)))</f>
        <v>0.88</v>
      </c>
      <c r="E4" s="20" t="n">
        <f aca="false">IFERROR(INDEX(SpecialtyActorSets!$I$4:$I$45,MATCH(1,(SpecialtyActorSets!$A$4:$A$45=CaseHeader!$B$16)*(SpecialtyActorSets!$B$4:$B$45=1),0)),1)</f>
        <v>1</v>
      </c>
      <c r="F4" s="20" t="str">
        <f aca="false">IFERROR(INDEX(SpecialtyActorSets!$E$4:$E$45,MATCH(1,(SpecialtyActorSets!$A$4:$A$45=CaseHeader!$B$16)*(SpecialtyActorSets!$B$4:$B$45=1),0)),"")</f>
        <v>Cross-specialty scientific validators and early adopters.</v>
      </c>
      <c r="G4" s="20" t="n">
        <f aca="false">IFERROR(INDEX(SpecialtyActorSets!$F$4:$F$45,MATCH(1,(SpecialtyActorSets!$A$4:$A$45=CaseHeader!$B$16)*(SpecialtyActorSets!$B$4:$B$45=1),0)),0)</f>
        <v>0.2</v>
      </c>
      <c r="H4" s="20" t="n">
        <f aca="false">IFERROR(INDEX(PharmaLogic!$B$4:$G$10,MATCH(CaseHeader!$B$16,PharmaLogic!$A$4:$A$10,0),MATCH($Q4,PharmaLogic!$B$3:$G$3,0)),1)</f>
        <v>1</v>
      </c>
      <c r="I4" s="20" t="n">
        <f aca="false">IFERROR(INDEX(PharmaLogic!$B$15:$G$19,MATCH(CaseHeader!$B$17,PharmaLogic!$A$15:$A$19,0),MATCH($Q4,PharmaLogic!$B$14:$G$14,0)),1)</f>
        <v>1</v>
      </c>
      <c r="J4" s="20" t="n">
        <f aca="false">IFERROR(INDEX(PharmaLogic!$B$24:$G$26,MATCH(CaseHeader!$B$18,PharmaLogic!$A$24:$A$26,0),MATCH($Q4,PharmaLogic!$B$23:$G$23,0)),1)</f>
        <v>1</v>
      </c>
      <c r="K4" s="20" t="n">
        <f aca="false">IFERROR(INDEX(PharmaLogic!$B$31:$G$35,MATCH(CaseHeader!$B$19,PharmaLogic!$A$31:$A$35,0),MATCH($Q4,PharmaLogic!$B$30:$G$30,0)),1)</f>
        <v>1.05</v>
      </c>
      <c r="L4" s="20" t="n">
        <f aca="false">G4*H4*I4*J4*K4</f>
        <v>0.21</v>
      </c>
      <c r="O4" s="20" t="n">
        <f aca="false">IFERROR(INDEX(SpecialtyActorSets!$G$4:$G$45,MATCH(1,(SpecialtyActorSets!$A$4:$A$45=CaseHeader!$B$16)*(SpecialtyActorSets!$B$4:$B$45=1),0)),1)</f>
        <v>1.15</v>
      </c>
      <c r="P4" s="20" t="n">
        <f aca="false">IFERROR(INDEX(SpecialtyActorSets!$H$4:$H$45,MATCH(1,(SpecialtyActorSets!$A$4:$A$45=CaseHeader!$B$16)*(SpecialtyActorSets!$B$4:$B$45=1),0)),1)</f>
        <v>0.88</v>
      </c>
      <c r="Q4" s="0" t="str">
        <f aca="false">IFERROR(INDEX(SpecialtyActorSets!$D$4:$D$45,MATCH(1,(SpecialtyActorSets!$A$4:$A$45=CaseHeader!$B$16)*(SpecialtyActorSets!$B$4:$B$45=1),0)),"")</f>
        <v>Academic KOLs</v>
      </c>
    </row>
    <row r="5" customFormat="false" ht="27.75" hidden="false" customHeight="true" outlineLevel="0" collapsed="false">
      <c r="A5" s="17" t="str">
        <f aca="false">IFERROR(INDEX(SpecialtyActorSets!$C$4:$C$45,MATCH(1,(SpecialtyActorSets!$A$4:$A$45=CaseHeader!$B$16)*(SpecialtyActorSets!$B$4:$B$45=2),0)),"")</f>
        <v>Community Physicians</v>
      </c>
      <c r="B5" s="20" t="n">
        <f aca="false">IFERROR(L5/SUM($L$4:$L$9),G5)</f>
        <v>0.221144519883608</v>
      </c>
      <c r="C5" s="20" t="n">
        <f aca="false">O5*(1+IF(AND($Q5="Guideline Bodies",CaseHeader!$B$18="High"),0.1,IF(AND($Q5="Guideline Bodies",CaseHeader!$B$18="Low"),-0.1,0)))*(1+IF(AND($Q5="Payers / Access",CaseHeader!$B$17="Commercial-heavy"),0.06,IF(AND($Q5="Payers / Access",CaseHeader!$B$17="Medicaid-heavy"),-0.03,0)))*(1+IF(AND($Q5="Community Physicians",CaseHeader!$B$19="Entrenched standard of care"),-0.05,0))*(1+IF(AND($Q5="Competitor Counteraction",OR(CaseHeader!$B$19="Aggressive branded competitor",CaseHeader!$B$19="Crowded class / multiple competitors")),0.08,0))</f>
        <v>0.9025</v>
      </c>
      <c r="D5" s="20" t="n">
        <f aca="false">P5*(1+IF(AND($Q5="Guideline Bodies",CaseHeader!$B$18="High"),-0.05,IF(AND($Q5="Guideline Bodies",CaseHeader!$B$18="Low"),0.05,0)))*(1+IF(AND($Q5="Payers / Access",CaseHeader!$B$17="Medicaid-heavy"),0.06,IF(AND($Q5="Payers / Access",CaseHeader!$B$17="Commercial-heavy"),0.03,0)))*(1+IF(AND($Q5="Community Physicians",CaseHeader!$B$19="Entrenched standard of care"),0.08,0))*(1+IF(AND($Q5="Competitor Counteraction",OR(CaseHeader!$B$19="Aggressive branded competitor",CaseHeader!$B$19="Crowded class / multiple competitors")),0.1,IF(AND($Q5="Competitor Counteraction",CaseHeader!$B$19="Whitespace / limited direct competition"),-0.08,0)))</f>
        <v>1.188</v>
      </c>
      <c r="E5" s="20" t="n">
        <f aca="false">IFERROR(INDEX(SpecialtyActorSets!$I$4:$I$45,MATCH(1,(SpecialtyActorSets!$A$4:$A$45=CaseHeader!$B$16)*(SpecialtyActorSets!$B$4:$B$45=2),0)),1)</f>
        <v>1</v>
      </c>
      <c r="F5" s="20" t="str">
        <f aca="false">IFERROR(INDEX(SpecialtyActorSets!$E$4:$E$45,MATCH(1,(SpecialtyActorSets!$A$4:$A$45=CaseHeader!$B$16)*(SpecialtyActorSets!$B$4:$B$45=2),0)),"")</f>
        <v>Broad treating base whose behavior determines real-world conversion.</v>
      </c>
      <c r="G5" s="20" t="n">
        <f aca="false">IFERROR(INDEX(SpecialtyActorSets!$F$4:$F$45,MATCH(1,(SpecialtyActorSets!$A$4:$A$45=CaseHeader!$B$16)*(SpecialtyActorSets!$B$4:$B$45=2),0)),0)</f>
        <v>0.24</v>
      </c>
      <c r="H5" s="20" t="n">
        <f aca="false">IFERROR(INDEX(PharmaLogic!$B$4:$G$10,MATCH(CaseHeader!$B$16,PharmaLogic!$A$4:$A$10,0),MATCH($Q5,PharmaLogic!$B$3:$G$3,0)),1)</f>
        <v>1</v>
      </c>
      <c r="I5" s="20" t="n">
        <f aca="false">IFERROR(INDEX(PharmaLogic!$B$15:$G$19,MATCH(CaseHeader!$B$17,PharmaLogic!$A$15:$A$19,0),MATCH($Q5,PharmaLogic!$B$14:$G$14,0)),1)</f>
        <v>1</v>
      </c>
      <c r="J5" s="20" t="n">
        <f aca="false">IFERROR(INDEX(PharmaLogic!$B$24:$G$26,MATCH(CaseHeader!$B$18,PharmaLogic!$A$24:$A$26,0),MATCH($Q5,PharmaLogic!$B$23:$G$23,0)),1)</f>
        <v>1</v>
      </c>
      <c r="K5" s="20" t="n">
        <f aca="false">IFERROR(INDEX(PharmaLogic!$B$31:$G$35,MATCH(CaseHeader!$B$19,PharmaLogic!$A$31:$A$35,0),MATCH($Q5,PharmaLogic!$B$30:$G$30,0)),1)</f>
        <v>0.95</v>
      </c>
      <c r="L5" s="20" t="n">
        <f aca="false">G5*H5*I5*J5*K5</f>
        <v>0.228</v>
      </c>
      <c r="O5" s="20" t="n">
        <f aca="false">IFERROR(INDEX(SpecialtyActorSets!$G$4:$G$45,MATCH(1,(SpecialtyActorSets!$A$4:$A$45=CaseHeader!$B$16)*(SpecialtyActorSets!$B$4:$B$45=2),0)),1)</f>
        <v>0.95</v>
      </c>
      <c r="P5" s="20" t="n">
        <f aca="false">IFERROR(INDEX(SpecialtyActorSets!$H$4:$H$45,MATCH(1,(SpecialtyActorSets!$A$4:$A$45=CaseHeader!$B$16)*(SpecialtyActorSets!$B$4:$B$45=2),0)),1)</f>
        <v>1.1</v>
      </c>
      <c r="Q5" s="0" t="str">
        <f aca="false">IFERROR(INDEX(SpecialtyActorSets!$D$4:$D$45,MATCH(1,(SpecialtyActorSets!$A$4:$A$45=CaseHeader!$B$16)*(SpecialtyActorSets!$B$4:$B$45=2),0)),"")</f>
        <v>Community Physicians</v>
      </c>
    </row>
    <row r="6" customFormat="false" ht="27.75" hidden="false" customHeight="true" outlineLevel="0" collapsed="false">
      <c r="A6" s="17" t="str">
        <f aca="false">IFERROR(INDEX(SpecialtyActorSets!$C$4:$C$45,MATCH(1,(SpecialtyActorSets!$A$4:$A$45=CaseHeader!$B$16)*(SpecialtyActorSets!$B$4:$B$45=3),0)),"")</f>
        <v>Specialty Extenders / PCPs</v>
      </c>
      <c r="B6" s="20" t="n">
        <f aca="false">IFERROR(L6/SUM($L$4:$L$9),G6)</f>
        <v>0.11639185257032</v>
      </c>
      <c r="C6" s="20" t="n">
        <f aca="false">O6*(1+IF(AND($Q6="Guideline Bodies",CaseHeader!$B$18="High"),0.1,IF(AND($Q6="Guideline Bodies",CaseHeader!$B$18="Low"),-0.1,0)))*(1+IF(AND($Q6="Payers / Access",CaseHeader!$B$17="Commercial-heavy"),0.06,IF(AND($Q6="Payers / Access",CaseHeader!$B$17="Medicaid-heavy"),-0.03,0)))*(1+IF(AND($Q6="Community Physicians",CaseHeader!$B$19="Entrenched standard of care"),-0.05,0))*(1+IF(AND($Q6="Competitor Counteraction",OR(CaseHeader!$B$19="Aggressive branded competitor",CaseHeader!$B$19="Crowded class / multiple competitors")),0.08,0))</f>
        <v>0.85</v>
      </c>
      <c r="D6" s="20" t="n">
        <f aca="false">P6*(1+IF(AND($Q6="Guideline Bodies",CaseHeader!$B$18="High"),-0.05,IF(AND($Q6="Guideline Bodies",CaseHeader!$B$18="Low"),0.05,0)))*(1+IF(AND($Q6="Payers / Access",CaseHeader!$B$17="Medicaid-heavy"),0.06,IF(AND($Q6="Payers / Access",CaseHeader!$B$17="Commercial-heavy"),0.03,0)))*(1+IF(AND($Q6="Community Physicians",CaseHeader!$B$19="Entrenched standard of care"),0.08,0))*(1+IF(AND($Q6="Competitor Counteraction",OR(CaseHeader!$B$19="Aggressive branded competitor",CaseHeader!$B$19="Crowded class / multiple competitors")),0.1,IF(AND($Q6="Competitor Counteraction",CaseHeader!$B$19="Whitespace / limited direct competition"),-0.08,0)))</f>
        <v>1.05</v>
      </c>
      <c r="E6" s="20" t="n">
        <f aca="false">IFERROR(INDEX(SpecialtyActorSets!$I$4:$I$45,MATCH(1,(SpecialtyActorSets!$A$4:$A$45=CaseHeader!$B$16)*(SpecialtyActorSets!$B$4:$B$45=3),0)),1)</f>
        <v>1</v>
      </c>
      <c r="F6" s="20" t="str">
        <f aca="false">IFERROR(INDEX(SpecialtyActorSets!$E$4:$E$45,MATCH(1,(SpecialtyActorSets!$A$4:$A$45=CaseHeader!$B$16)*(SpecialtyActorSets!$B$4:$B$45=3),0)),"")</f>
        <v>Secondary prescribers or extenders who amplify practical uptake.</v>
      </c>
      <c r="G6" s="20" t="n">
        <f aca="false">IFERROR(INDEX(SpecialtyActorSets!$F$4:$F$45,MATCH(1,(SpecialtyActorSets!$A$4:$A$45=CaseHeader!$B$16)*(SpecialtyActorSets!$B$4:$B$45=3),0)),0)</f>
        <v>0.12</v>
      </c>
      <c r="H6" s="20" t="n">
        <f aca="false">IFERROR(INDEX(PharmaLogic!$B$4:$G$10,MATCH(CaseHeader!$B$16,PharmaLogic!$A$4:$A$10,0),MATCH($Q6,PharmaLogic!$B$3:$G$3,0)),1)</f>
        <v>1</v>
      </c>
      <c r="I6" s="20" t="n">
        <f aca="false">IFERROR(INDEX(PharmaLogic!$B$15:$G$19,MATCH(CaseHeader!$B$17,PharmaLogic!$A$15:$A$19,0),MATCH($Q6,PharmaLogic!$B$14:$G$14,0)),1)</f>
        <v>1</v>
      </c>
      <c r="J6" s="20" t="n">
        <f aca="false">IFERROR(INDEX(PharmaLogic!$B$24:$G$26,MATCH(CaseHeader!$B$18,PharmaLogic!$A$24:$A$26,0),MATCH($Q6,PharmaLogic!$B$23:$G$23,0)),1)</f>
        <v>1</v>
      </c>
      <c r="K6" s="20" t="n">
        <f aca="false">IFERROR(INDEX(PharmaLogic!$B$31:$G$35,MATCH(CaseHeader!$B$19,PharmaLogic!$A$31:$A$35,0),MATCH($Q6,PharmaLogic!$B$30:$G$30,0)),1)</f>
        <v>1</v>
      </c>
      <c r="L6" s="20" t="n">
        <f aca="false">G6*H6*I6*J6*K6</f>
        <v>0.12</v>
      </c>
      <c r="O6" s="20" t="n">
        <f aca="false">IFERROR(INDEX(SpecialtyActorSets!$G$4:$G$45,MATCH(1,(SpecialtyActorSets!$A$4:$A$45=CaseHeader!$B$16)*(SpecialtyActorSets!$B$4:$B$45=3),0)),1)</f>
        <v>0.85</v>
      </c>
      <c r="P6" s="20" t="n">
        <f aca="false">IFERROR(INDEX(SpecialtyActorSets!$H$4:$H$45,MATCH(1,(SpecialtyActorSets!$A$4:$A$45=CaseHeader!$B$16)*(SpecialtyActorSets!$B$4:$B$45=3),0)),1)</f>
        <v>1.05</v>
      </c>
      <c r="Q6" s="0" t="str">
        <f aca="false">IFERROR(INDEX(SpecialtyActorSets!$D$4:$D$45,MATCH(1,(SpecialtyActorSets!$A$4:$A$45=CaseHeader!$B$16)*(SpecialtyActorSets!$B$4:$B$45=3),0)),"")</f>
        <v>Health Systems</v>
      </c>
    </row>
    <row r="7" customFormat="false" ht="15" hidden="false" customHeight="true" outlineLevel="0" collapsed="false">
      <c r="A7" s="17" t="str">
        <f aca="false">IFERROR(INDEX(SpecialtyActorSets!$C$4:$C$45,MATCH(1,(SpecialtyActorSets!$A$4:$A$45=CaseHeader!$B$16)*(SpecialtyActorSets!$B$4:$B$45=4),0)),"")</f>
        <v>Payers / Access</v>
      </c>
      <c r="B7" s="20" t="n">
        <f aca="false">IFERROR(L7/SUM($L$4:$L$9),G7)</f>
        <v>0.183317167798254</v>
      </c>
      <c r="C7" s="20" t="n">
        <f aca="false">O7*(1+IF(AND($Q7="Guideline Bodies",CaseHeader!$B$18="High"),0.1,IF(AND($Q7="Guideline Bodies",CaseHeader!$B$18="Low"),-0.1,0)))*(1+IF(AND($Q7="Payers / Access",CaseHeader!$B$17="Commercial-heavy"),0.06,IF(AND($Q7="Payers / Access",CaseHeader!$B$17="Medicaid-heavy"),-0.03,0)))*(1+IF(AND($Q7="Community Physicians",CaseHeader!$B$19="Entrenched standard of care"),-0.05,0))*(1+IF(AND($Q7="Competitor Counteraction",OR(CaseHeader!$B$19="Aggressive branded competitor",CaseHeader!$B$19="Crowded class / multiple competitors")),0.08,0))</f>
        <v>0.8</v>
      </c>
      <c r="D7" s="20" t="n">
        <f aca="false">P7*(1+IF(AND($Q7="Guideline Bodies",CaseHeader!$B$18="High"),-0.05,IF(AND($Q7="Guideline Bodies",CaseHeader!$B$18="Low"),0.05,0)))*(1+IF(AND($Q7="Payers / Access",CaseHeader!$B$17="Medicaid-heavy"),0.06,IF(AND($Q7="Payers / Access",CaseHeader!$B$17="Commercial-heavy"),0.03,0)))*(1+IF(AND($Q7="Community Physicians",CaseHeader!$B$19="Entrenched standard of care"),0.08,0))*(1+IF(AND($Q7="Competitor Counteraction",OR(CaseHeader!$B$19="Aggressive branded competitor",CaseHeader!$B$19="Crowded class / multiple competitors")),0.1,IF(AND($Q7="Competitor Counteraction",CaseHeader!$B$19="Whitespace / limited direct competition"),-0.08,0)))</f>
        <v>1.2</v>
      </c>
      <c r="E7" s="20" t="n">
        <f aca="false">IFERROR(INDEX(SpecialtyActorSets!$I$4:$I$45,MATCH(1,(SpecialtyActorSets!$A$4:$A$45=CaseHeader!$B$16)*(SpecialtyActorSets!$B$4:$B$45=4),0)),1)</f>
        <v>1</v>
      </c>
      <c r="F7" s="20" t="str">
        <f aca="false">IFERROR(INDEX(SpecialtyActorSets!$E$4:$E$45,MATCH(1,(SpecialtyActorSets!$A$4:$A$45=CaseHeader!$B$16)*(SpecialtyActorSets!$B$4:$B$45=4),0)),"")</f>
        <v>Coverage and reimbursement gatekeepers.</v>
      </c>
      <c r="G7" s="20" t="n">
        <f aca="false">IFERROR(INDEX(SpecialtyActorSets!$F$4:$F$45,MATCH(1,(SpecialtyActorSets!$A$4:$A$45=CaseHeader!$B$16)*(SpecialtyActorSets!$B$4:$B$45=4),0)),0)</f>
        <v>0.18</v>
      </c>
      <c r="H7" s="20" t="n">
        <f aca="false">IFERROR(INDEX(PharmaLogic!$B$4:$G$10,MATCH(CaseHeader!$B$16,PharmaLogic!$A$4:$A$10,0),MATCH($Q7,PharmaLogic!$B$3:$G$3,0)),1)</f>
        <v>1</v>
      </c>
      <c r="I7" s="20" t="n">
        <f aca="false">IFERROR(INDEX(PharmaLogic!$B$15:$G$19,MATCH(CaseHeader!$B$17,PharmaLogic!$A$15:$A$19,0),MATCH($Q7,PharmaLogic!$B$14:$G$14,0)),1)</f>
        <v>1</v>
      </c>
      <c r="J7" s="20" t="n">
        <f aca="false">IFERROR(INDEX(PharmaLogic!$B$24:$G$26,MATCH(CaseHeader!$B$18,PharmaLogic!$A$24:$A$26,0),MATCH($Q7,PharmaLogic!$B$23:$G$23,0)),1)</f>
        <v>1</v>
      </c>
      <c r="K7" s="20" t="n">
        <f aca="false">IFERROR(INDEX(PharmaLogic!$B$31:$G$35,MATCH(CaseHeader!$B$19,PharmaLogic!$A$31:$A$35,0),MATCH($Q7,PharmaLogic!$B$30:$G$30,0)),1)</f>
        <v>1.05</v>
      </c>
      <c r="L7" s="20" t="n">
        <f aca="false">G7*H7*I7*J7*K7</f>
        <v>0.189</v>
      </c>
      <c r="O7" s="20" t="n">
        <f aca="false">IFERROR(INDEX(SpecialtyActorSets!$G$4:$G$45,MATCH(1,(SpecialtyActorSets!$A$4:$A$45=CaseHeader!$B$16)*(SpecialtyActorSets!$B$4:$B$45=4),0)),1)</f>
        <v>0.8</v>
      </c>
      <c r="P7" s="20" t="n">
        <f aca="false">IFERROR(INDEX(SpecialtyActorSets!$H$4:$H$45,MATCH(1,(SpecialtyActorSets!$A$4:$A$45=CaseHeader!$B$16)*(SpecialtyActorSets!$B$4:$B$45=4),0)),1)</f>
        <v>1.2</v>
      </c>
      <c r="Q7" s="0" t="str">
        <f aca="false">IFERROR(INDEX(SpecialtyActorSets!$D$4:$D$45,MATCH(1,(SpecialtyActorSets!$A$4:$A$45=CaseHeader!$B$16)*(SpecialtyActorSets!$B$4:$B$45=4),0)),"")</f>
        <v>Payers / Access</v>
      </c>
    </row>
    <row r="8" customFormat="false" ht="15" hidden="false" customHeight="true" outlineLevel="0" collapsed="false">
      <c r="A8" s="17" t="str">
        <f aca="false">IFERROR(INDEX(SpecialtyActorSets!$C$4:$C$45,MATCH(1,(SpecialtyActorSets!$A$4:$A$45=CaseHeader!$B$16)*(SpecialtyActorSets!$B$4:$B$45=5),0)),"")</f>
        <v>Guideline / Society Bodies</v>
      </c>
      <c r="B8" s="20" t="n">
        <f aca="false">IFERROR(L8/SUM($L$4:$L$9),G8)</f>
        <v>0.135790494665373</v>
      </c>
      <c r="C8" s="20" t="n">
        <f aca="false">O8*(1+IF(AND($Q8="Guideline Bodies",CaseHeader!$B$18="High"),0.1,IF(AND($Q8="Guideline Bodies",CaseHeader!$B$18="Low"),-0.1,0)))*(1+IF(AND($Q8="Payers / Access",CaseHeader!$B$17="Commercial-heavy"),0.06,IF(AND($Q8="Payers / Access",CaseHeader!$B$17="Medicaid-heavy"),-0.03,0)))*(1+IF(AND($Q8="Community Physicians",CaseHeader!$B$19="Entrenched standard of care"),-0.05,0))*(1+IF(AND($Q8="Competitor Counteraction",OR(CaseHeader!$B$19="Aggressive branded competitor",CaseHeader!$B$19="Crowded class / multiple competitors")),0.08,0))</f>
        <v>1.25</v>
      </c>
      <c r="D8" s="20" t="n">
        <f aca="false">P8*(1+IF(AND($Q8="Guideline Bodies",CaseHeader!$B$18="High"),-0.05,IF(AND($Q8="Guideline Bodies",CaseHeader!$B$18="Low"),0.05,0)))*(1+IF(AND($Q8="Payers / Access",CaseHeader!$B$17="Medicaid-heavy"),0.06,IF(AND($Q8="Payers / Access",CaseHeader!$B$17="Commercial-heavy"),0.03,0)))*(1+IF(AND($Q8="Community Physicians",CaseHeader!$B$19="Entrenched standard of care"),0.08,0))*(1+IF(AND($Q8="Competitor Counteraction",OR(CaseHeader!$B$19="Aggressive branded competitor",CaseHeader!$B$19="Crowded class / multiple competitors")),0.1,IF(AND($Q8="Competitor Counteraction",CaseHeader!$B$19="Whitespace / limited direct competition"),-0.08,0)))</f>
        <v>0.9</v>
      </c>
      <c r="E8" s="20" t="n">
        <f aca="false">IFERROR(INDEX(SpecialtyActorSets!$I$4:$I$45,MATCH(1,(SpecialtyActorSets!$A$4:$A$45=CaseHeader!$B$16)*(SpecialtyActorSets!$B$4:$B$45=5),0)),1)</f>
        <v>1</v>
      </c>
      <c r="F8" s="20" t="str">
        <f aca="false">IFERROR(INDEX(SpecialtyActorSets!$E$4:$E$45,MATCH(1,(SpecialtyActorSets!$A$4:$A$45=CaseHeader!$B$16)*(SpecialtyActorSets!$B$4:$B$45=5),0)),"")</f>
        <v>Formal recommendation-setting organizations.</v>
      </c>
      <c r="G8" s="20" t="n">
        <f aca="false">IFERROR(INDEX(SpecialtyActorSets!$F$4:$F$45,MATCH(1,(SpecialtyActorSets!$A$4:$A$45=CaseHeader!$B$16)*(SpecialtyActorSets!$B$4:$B$45=5),0)),0)</f>
        <v>0.14</v>
      </c>
      <c r="H8" s="20" t="n">
        <f aca="false">IFERROR(INDEX(PharmaLogic!$B$4:$G$10,MATCH(CaseHeader!$B$16,PharmaLogic!$A$4:$A$10,0),MATCH($Q8,PharmaLogic!$B$3:$G$3,0)),1)</f>
        <v>1</v>
      </c>
      <c r="I8" s="20" t="n">
        <f aca="false">IFERROR(INDEX(PharmaLogic!$B$15:$G$19,MATCH(CaseHeader!$B$17,PharmaLogic!$A$15:$A$19,0),MATCH($Q8,PharmaLogic!$B$14:$G$14,0)),1)</f>
        <v>1</v>
      </c>
      <c r="J8" s="20" t="n">
        <f aca="false">IFERROR(INDEX(PharmaLogic!$B$24:$G$26,MATCH(CaseHeader!$B$18,PharmaLogic!$A$24:$A$26,0),MATCH($Q8,PharmaLogic!$B$23:$G$23,0)),1)</f>
        <v>1</v>
      </c>
      <c r="K8" s="20" t="n">
        <f aca="false">IFERROR(INDEX(PharmaLogic!$B$31:$G$35,MATCH(CaseHeader!$B$19,PharmaLogic!$A$31:$A$35,0),MATCH($Q8,PharmaLogic!$B$30:$G$30,0)),1)</f>
        <v>1</v>
      </c>
      <c r="L8" s="20" t="n">
        <f aca="false">G8*H8*I8*J8*K8</f>
        <v>0.14</v>
      </c>
      <c r="O8" s="20" t="n">
        <f aca="false">IFERROR(INDEX(SpecialtyActorSets!$G$4:$G$45,MATCH(1,(SpecialtyActorSets!$A$4:$A$45=CaseHeader!$B$16)*(SpecialtyActorSets!$B$4:$B$45=5),0)),1)</f>
        <v>1.25</v>
      </c>
      <c r="P8" s="20" t="n">
        <f aca="false">IFERROR(INDEX(SpecialtyActorSets!$H$4:$H$45,MATCH(1,(SpecialtyActorSets!$A$4:$A$45=CaseHeader!$B$16)*(SpecialtyActorSets!$B$4:$B$45=5),0)),1)</f>
        <v>0.9</v>
      </c>
      <c r="Q8" s="0" t="str">
        <f aca="false">IFERROR(INDEX(SpecialtyActorSets!$D$4:$D$45,MATCH(1,(SpecialtyActorSets!$A$4:$A$45=CaseHeader!$B$16)*(SpecialtyActorSets!$B$4:$B$45=5),0)),"")</f>
        <v>Guideline Bodies</v>
      </c>
    </row>
    <row r="9" customFormat="false" ht="15" hidden="false" customHeight="true" outlineLevel="0" collapsed="false">
      <c r="A9" s="17" t="str">
        <f aca="false">IFERROR(INDEX(SpecialtyActorSets!$C$4:$C$45,MATCH(1,(SpecialtyActorSets!$A$4:$A$45=CaseHeader!$B$16)*(SpecialtyActorSets!$B$4:$B$45=6),0)),"")</f>
        <v>Competitor Counteraction</v>
      </c>
      <c r="B9" s="20" t="n">
        <f aca="false">IFERROR(L9/SUM($L$4:$L$9),G9)</f>
        <v>0.139670223084384</v>
      </c>
      <c r="C9" s="20" t="n">
        <f aca="false">O9*(1+IF(AND($Q9="Guideline Bodies",CaseHeader!$B$18="High"),0.1,IF(AND($Q9="Guideline Bodies",CaseHeader!$B$18="Low"),-0.1,0)))*(1+IF(AND($Q9="Payers / Access",CaseHeader!$B$17="Commercial-heavy"),0.06,IF(AND($Q9="Payers / Access",CaseHeader!$B$17="Medicaid-heavy"),-0.03,0)))*(1+IF(AND($Q9="Community Physicians",CaseHeader!$B$19="Entrenched standard of care"),-0.05,0))*(1+IF(AND($Q9="Competitor Counteraction",OR(CaseHeader!$B$19="Aggressive branded competitor",CaseHeader!$B$19="Crowded class / multiple competitors")),0.08,0))</f>
        <v>0.9</v>
      </c>
      <c r="D9" s="20" t="n">
        <f aca="false">P9*(1+IF(AND($Q9="Guideline Bodies",CaseHeader!$B$18="High"),-0.05,IF(AND($Q9="Guideline Bodies",CaseHeader!$B$18="Low"),0.05,0)))*(1+IF(AND($Q9="Payers / Access",CaseHeader!$B$17="Medicaid-heavy"),0.06,IF(AND($Q9="Payers / Access",CaseHeader!$B$17="Commercial-heavy"),0.03,0)))*(1+IF(AND($Q9="Community Physicians",CaseHeader!$B$19="Entrenched standard of care"),0.08,0))*(1+IF(AND($Q9="Competitor Counteraction",OR(CaseHeader!$B$19="Aggressive branded competitor",CaseHeader!$B$19="Crowded class / multiple competitors")),0.1,IF(AND($Q9="Competitor Counteraction",CaseHeader!$B$19="Whitespace / limited direct competition"),-0.08,0)))</f>
        <v>1.12</v>
      </c>
      <c r="E9" s="20" t="n">
        <f aca="false">IFERROR(INDEX(SpecialtyActorSets!$I$4:$I$45,MATCH(1,(SpecialtyActorSets!$A$4:$A$45=CaseHeader!$B$16)*(SpecialtyActorSets!$B$4:$B$45=6),0)),1)</f>
        <v>-1</v>
      </c>
      <c r="F9" s="20" t="str">
        <f aca="false">IFERROR(INDEX(SpecialtyActorSets!$E$4:$E$45,MATCH(1,(SpecialtyActorSets!$A$4:$A$45=CaseHeader!$B$16)*(SpecialtyActorSets!$B$4:$B$45=6),0)),"")</f>
        <v>Counter-detailing, access defense, and class-noise response.</v>
      </c>
      <c r="G9" s="20" t="n">
        <f aca="false">IFERROR(INDEX(SpecialtyActorSets!$F$4:$F$45,MATCH(1,(SpecialtyActorSets!$A$4:$A$45=CaseHeader!$B$16)*(SpecialtyActorSets!$B$4:$B$45=6),0)),0)</f>
        <v>0.12</v>
      </c>
      <c r="H9" s="20" t="n">
        <f aca="false">IFERROR(INDEX(PharmaLogic!$B$4:$G$10,MATCH(CaseHeader!$B$16,PharmaLogic!$A$4:$A$10,0),MATCH($Q9,PharmaLogic!$B$3:$G$3,0)),1)</f>
        <v>1</v>
      </c>
      <c r="I9" s="20" t="n">
        <f aca="false">IFERROR(INDEX(PharmaLogic!$B$15:$G$19,MATCH(CaseHeader!$B$17,PharmaLogic!$A$15:$A$19,0),MATCH($Q9,PharmaLogic!$B$14:$G$14,0)),1)</f>
        <v>1</v>
      </c>
      <c r="J9" s="20" t="n">
        <f aca="false">IFERROR(INDEX(PharmaLogic!$B$24:$G$26,MATCH(CaseHeader!$B$18,PharmaLogic!$A$24:$A$26,0),MATCH($Q9,PharmaLogic!$B$23:$G$23,0)),1)</f>
        <v>1</v>
      </c>
      <c r="K9" s="20" t="n">
        <f aca="false">IFERROR(INDEX(PharmaLogic!$B$31:$G$35,MATCH(CaseHeader!$B$19,PharmaLogic!$A$31:$A$35,0),MATCH($Q9,PharmaLogic!$B$30:$G$30,0)),1)</f>
        <v>1.2</v>
      </c>
      <c r="L9" s="20" t="n">
        <f aca="false">G9*H9*I9*J9*K9</f>
        <v>0.144</v>
      </c>
      <c r="O9" s="20" t="n">
        <f aca="false">IFERROR(INDEX(SpecialtyActorSets!$G$4:$G$45,MATCH(1,(SpecialtyActorSets!$A$4:$A$45=CaseHeader!$B$16)*(SpecialtyActorSets!$B$4:$B$45=6),0)),1)</f>
        <v>0.9</v>
      </c>
      <c r="P9" s="20" t="n">
        <f aca="false">IFERROR(INDEX(SpecialtyActorSets!$H$4:$H$45,MATCH(1,(SpecialtyActorSets!$A$4:$A$45=CaseHeader!$B$16)*(SpecialtyActorSets!$B$4:$B$45=6),0)),1)</f>
        <v>1.12</v>
      </c>
      <c r="Q9" s="0" t="str">
        <f aca="false">IFERROR(INDEX(SpecialtyActorSets!$D$4:$D$45,MATCH(1,(SpecialtyActorSets!$A$4:$A$45=CaseHeader!$B$16)*(SpecialtyActorSets!$B$4:$B$45=6),0)),"")</f>
        <v>Competitor Counteraction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9" min="2" style="1" width="22"/>
    <col collapsed="false" customWidth="true" hidden="false" outlineLevel="0" max="10" min="10" style="1" width="28"/>
    <col collapsed="false" customWidth="true" hidden="false" outlineLevel="0" max="16" min="11" style="1" width="22"/>
  </cols>
  <sheetData>
    <row r="1" customFormat="false" ht="17.25" hidden="false" customHeight="true" outlineLevel="0" collapsed="false">
      <c r="A1" s="15" t="s">
        <v>483</v>
      </c>
      <c r="J1" s="15" t="s">
        <v>484</v>
      </c>
    </row>
    <row r="3" customFormat="false" ht="27.75" hidden="false" customHeight="true" outlineLevel="0" collapsed="false">
      <c r="A3" s="16" t="s">
        <v>485</v>
      </c>
      <c r="B3" s="16" t="s">
        <v>486</v>
      </c>
      <c r="C3" s="16" t="s">
        <v>487</v>
      </c>
      <c r="D3" s="16" t="s">
        <v>488</v>
      </c>
      <c r="E3" s="16" t="s">
        <v>489</v>
      </c>
      <c r="F3" s="16" t="s">
        <v>490</v>
      </c>
      <c r="G3" s="16" t="s">
        <v>491</v>
      </c>
      <c r="J3" s="16" t="s">
        <v>2</v>
      </c>
      <c r="K3" s="16" t="s">
        <v>486</v>
      </c>
      <c r="L3" s="16" t="s">
        <v>487</v>
      </c>
      <c r="M3" s="16" t="s">
        <v>488</v>
      </c>
      <c r="N3" s="16" t="s">
        <v>489</v>
      </c>
      <c r="O3" s="16" t="s">
        <v>490</v>
      </c>
      <c r="P3" s="16" t="s">
        <v>491</v>
      </c>
    </row>
    <row r="4" customFormat="false" ht="15" hidden="false" customHeight="true" outlineLevel="0" collapsed="false">
      <c r="A4" s="17" t="s">
        <v>453</v>
      </c>
      <c r="B4" s="20" t="n">
        <v>1</v>
      </c>
      <c r="C4" s="20" t="n">
        <v>1</v>
      </c>
      <c r="D4" s="20" t="n">
        <v>1</v>
      </c>
      <c r="E4" s="20" t="n">
        <v>1</v>
      </c>
      <c r="F4" s="20" t="n">
        <v>1</v>
      </c>
      <c r="G4" s="20" t="n">
        <v>1</v>
      </c>
      <c r="J4" s="17" t="s">
        <v>378</v>
      </c>
      <c r="K4" s="20" t="n">
        <v>1.2</v>
      </c>
      <c r="L4" s="20" t="n">
        <v>1</v>
      </c>
      <c r="M4" s="20" t="n">
        <v>0.95</v>
      </c>
      <c r="N4" s="20" t="n">
        <v>1.1</v>
      </c>
      <c r="O4" s="20" t="n">
        <v>0.95</v>
      </c>
      <c r="P4" s="20" t="n">
        <v>0.9</v>
      </c>
    </row>
    <row r="5" customFormat="false" ht="15" hidden="false" customHeight="true" outlineLevel="0" collapsed="false">
      <c r="A5" s="17" t="s">
        <v>492</v>
      </c>
      <c r="B5" s="20" t="n">
        <v>1.15</v>
      </c>
      <c r="C5" s="20" t="n">
        <v>1.05</v>
      </c>
      <c r="D5" s="20" t="n">
        <v>0.95</v>
      </c>
      <c r="E5" s="20" t="n">
        <v>1.1</v>
      </c>
      <c r="F5" s="20" t="n">
        <v>1</v>
      </c>
      <c r="G5" s="20" t="n">
        <v>0.95</v>
      </c>
      <c r="J5" s="17" t="s">
        <v>357</v>
      </c>
      <c r="K5" s="20" t="n">
        <v>0.95</v>
      </c>
      <c r="L5" s="20" t="n">
        <v>1.15</v>
      </c>
      <c r="M5" s="20" t="n">
        <v>1</v>
      </c>
      <c r="N5" s="20" t="n">
        <v>0.9</v>
      </c>
      <c r="O5" s="20" t="n">
        <v>1</v>
      </c>
      <c r="P5" s="20" t="n">
        <v>1</v>
      </c>
    </row>
    <row r="6" customFormat="false" ht="15" hidden="false" customHeight="true" outlineLevel="0" collapsed="false">
      <c r="A6" s="17" t="s">
        <v>493</v>
      </c>
      <c r="B6" s="20" t="n">
        <v>0.95</v>
      </c>
      <c r="C6" s="20" t="n">
        <v>1.15</v>
      </c>
      <c r="D6" s="20" t="n">
        <v>1.1</v>
      </c>
      <c r="E6" s="20" t="n">
        <v>1</v>
      </c>
      <c r="F6" s="20" t="n">
        <v>1.05</v>
      </c>
      <c r="G6" s="20" t="n">
        <v>1.05</v>
      </c>
      <c r="J6" s="17" t="s">
        <v>388</v>
      </c>
      <c r="K6" s="20" t="n">
        <v>0.9</v>
      </c>
      <c r="L6" s="20" t="n">
        <v>0.95</v>
      </c>
      <c r="M6" s="20" t="n">
        <v>1.25</v>
      </c>
      <c r="N6" s="20" t="n">
        <v>0.95</v>
      </c>
      <c r="O6" s="20" t="n">
        <v>1.05</v>
      </c>
      <c r="P6" s="20" t="n">
        <v>1</v>
      </c>
    </row>
    <row r="7" customFormat="false" ht="15" hidden="false" customHeight="true" outlineLevel="0" collapsed="false">
      <c r="A7" s="17" t="s">
        <v>494</v>
      </c>
      <c r="B7" s="20" t="n">
        <v>1.2</v>
      </c>
      <c r="C7" s="20" t="n">
        <v>0.95</v>
      </c>
      <c r="D7" s="20" t="n">
        <v>1.05</v>
      </c>
      <c r="E7" s="20" t="n">
        <v>1</v>
      </c>
      <c r="F7" s="20" t="n">
        <v>1</v>
      </c>
      <c r="G7" s="20" t="n">
        <v>1.1</v>
      </c>
      <c r="J7" s="17" t="s">
        <v>495</v>
      </c>
      <c r="K7" s="20" t="n">
        <v>1.05</v>
      </c>
      <c r="L7" s="20" t="n">
        <v>0.95</v>
      </c>
      <c r="M7" s="20" t="n">
        <v>1</v>
      </c>
      <c r="N7" s="20" t="n">
        <v>1.35</v>
      </c>
      <c r="O7" s="20" t="n">
        <v>1</v>
      </c>
      <c r="P7" s="20" t="n">
        <v>0.95</v>
      </c>
    </row>
    <row r="8" customFormat="false" ht="15" hidden="false" customHeight="true" outlineLevel="0" collapsed="false">
      <c r="A8" s="17" t="s">
        <v>496</v>
      </c>
      <c r="B8" s="20" t="n">
        <v>0.9</v>
      </c>
      <c r="C8" s="20" t="n">
        <v>1.2</v>
      </c>
      <c r="D8" s="20" t="n">
        <v>1</v>
      </c>
      <c r="E8" s="20" t="n">
        <v>0.95</v>
      </c>
      <c r="F8" s="20" t="n">
        <v>1</v>
      </c>
      <c r="G8" s="20" t="n">
        <v>1.05</v>
      </c>
      <c r="J8" s="17" t="s">
        <v>497</v>
      </c>
      <c r="K8" s="20" t="n">
        <v>1.1</v>
      </c>
      <c r="L8" s="20" t="n">
        <v>1.2</v>
      </c>
      <c r="M8" s="20" t="n">
        <v>1.05</v>
      </c>
      <c r="N8" s="20" t="n">
        <v>1</v>
      </c>
      <c r="O8" s="20" t="n">
        <v>1</v>
      </c>
      <c r="P8" s="20" t="n">
        <v>0.95</v>
      </c>
    </row>
    <row r="9" customFormat="false" ht="15" hidden="false" customHeight="true" outlineLevel="0" collapsed="false">
      <c r="A9" s="17" t="s">
        <v>498</v>
      </c>
      <c r="B9" s="20" t="n">
        <v>0.9</v>
      </c>
      <c r="C9" s="20" t="n">
        <v>1.1</v>
      </c>
      <c r="D9" s="20" t="n">
        <v>1.2</v>
      </c>
      <c r="E9" s="20" t="n">
        <v>0.95</v>
      </c>
      <c r="F9" s="20" t="n">
        <v>1</v>
      </c>
      <c r="G9" s="20" t="n">
        <v>1.05</v>
      </c>
      <c r="J9" s="17" t="s">
        <v>499</v>
      </c>
      <c r="K9" s="20" t="n">
        <v>0.9</v>
      </c>
      <c r="L9" s="20" t="n">
        <v>1</v>
      </c>
      <c r="M9" s="20" t="n">
        <v>0.95</v>
      </c>
      <c r="N9" s="20" t="n">
        <v>0.9</v>
      </c>
      <c r="O9" s="20" t="n">
        <v>1.25</v>
      </c>
      <c r="P9" s="20" t="n">
        <v>1</v>
      </c>
    </row>
    <row r="10" customFormat="false" ht="27.75" hidden="false" customHeight="true" outlineLevel="0" collapsed="false">
      <c r="A10" s="17" t="s">
        <v>500</v>
      </c>
      <c r="B10" s="20" t="n">
        <v>1.05</v>
      </c>
      <c r="C10" s="20" t="n">
        <v>0.95</v>
      </c>
      <c r="D10" s="20" t="n">
        <v>1</v>
      </c>
      <c r="E10" s="20" t="n">
        <v>1.2</v>
      </c>
      <c r="F10" s="20" t="n">
        <v>1</v>
      </c>
      <c r="G10" s="20" t="n">
        <v>0.95</v>
      </c>
      <c r="J10" s="17" t="s">
        <v>501</v>
      </c>
      <c r="K10" s="20" t="n">
        <v>0.95</v>
      </c>
      <c r="L10" s="20" t="n">
        <v>1</v>
      </c>
      <c r="M10" s="20" t="n">
        <v>1</v>
      </c>
      <c r="N10" s="20" t="n">
        <v>0.9</v>
      </c>
      <c r="O10" s="20" t="n">
        <v>0.95</v>
      </c>
      <c r="P10" s="20" t="n">
        <v>1.35</v>
      </c>
    </row>
    <row r="11" customFormat="false" ht="15" hidden="false" customHeight="true" outlineLevel="0" collapsed="false">
      <c r="J11" s="17" t="s">
        <v>502</v>
      </c>
      <c r="K11" s="20" t="n">
        <v>0.95</v>
      </c>
      <c r="L11" s="20" t="n">
        <v>0.95</v>
      </c>
      <c r="M11" s="20" t="n">
        <v>1.2</v>
      </c>
      <c r="N11" s="20" t="n">
        <v>1</v>
      </c>
      <c r="O11" s="20" t="n">
        <v>1</v>
      </c>
      <c r="P11" s="20" t="n">
        <v>1</v>
      </c>
    </row>
    <row r="12" customFormat="false" ht="17.25" hidden="false" customHeight="true" outlineLevel="0" collapsed="false">
      <c r="A12" s="15" t="s">
        <v>503</v>
      </c>
      <c r="J12" s="17" t="s">
        <v>504</v>
      </c>
      <c r="K12" s="20" t="n">
        <v>1.3</v>
      </c>
      <c r="L12" s="20" t="n">
        <v>0.95</v>
      </c>
      <c r="M12" s="20" t="n">
        <v>0.9</v>
      </c>
      <c r="N12" s="20" t="n">
        <v>1</v>
      </c>
      <c r="O12" s="20" t="n">
        <v>0.95</v>
      </c>
      <c r="P12" s="20" t="n">
        <v>0.9</v>
      </c>
    </row>
    <row r="13" customFormat="false" ht="15" hidden="false" customHeight="true" outlineLevel="0" collapsed="false">
      <c r="J13" s="17" t="s">
        <v>505</v>
      </c>
      <c r="K13" s="20" t="n">
        <v>0.9</v>
      </c>
      <c r="L13" s="20" t="n">
        <v>1.05</v>
      </c>
      <c r="M13" s="20" t="n">
        <v>0.95</v>
      </c>
      <c r="N13" s="20" t="n">
        <v>0.9</v>
      </c>
      <c r="O13" s="20" t="n">
        <v>1</v>
      </c>
      <c r="P13" s="20" t="n">
        <v>0.95</v>
      </c>
    </row>
    <row r="14" customFormat="false" ht="27.75" hidden="false" customHeight="true" outlineLevel="0" collapsed="false">
      <c r="A14" s="16" t="s">
        <v>454</v>
      </c>
      <c r="B14" s="16" t="s">
        <v>486</v>
      </c>
      <c r="C14" s="16" t="s">
        <v>487</v>
      </c>
      <c r="D14" s="16" t="s">
        <v>488</v>
      </c>
      <c r="E14" s="16" t="s">
        <v>489</v>
      </c>
      <c r="F14" s="16" t="s">
        <v>490</v>
      </c>
      <c r="G14" s="16" t="s">
        <v>491</v>
      </c>
      <c r="J14" s="17" t="s">
        <v>506</v>
      </c>
      <c r="K14" s="20" t="n">
        <v>1.1</v>
      </c>
      <c r="L14" s="20" t="n">
        <v>1.1</v>
      </c>
      <c r="M14" s="20" t="n">
        <v>0.95</v>
      </c>
      <c r="N14" s="20" t="n">
        <v>1</v>
      </c>
      <c r="O14" s="20" t="n">
        <v>0.95</v>
      </c>
      <c r="P14" s="20" t="n">
        <v>0.9</v>
      </c>
    </row>
    <row r="15" customFormat="false" ht="15" hidden="false" customHeight="true" outlineLevel="0" collapsed="false">
      <c r="A15" s="17" t="s">
        <v>455</v>
      </c>
      <c r="B15" s="20" t="n">
        <v>1</v>
      </c>
      <c r="C15" s="20" t="n">
        <v>1</v>
      </c>
      <c r="D15" s="20" t="n">
        <v>1</v>
      </c>
      <c r="E15" s="20" t="n">
        <v>1</v>
      </c>
      <c r="F15" s="20" t="n">
        <v>1</v>
      </c>
      <c r="G15" s="20" t="n">
        <v>1</v>
      </c>
      <c r="J15" s="17" t="s">
        <v>507</v>
      </c>
      <c r="K15" s="20" t="n">
        <v>1</v>
      </c>
      <c r="L15" s="20" t="n">
        <v>1</v>
      </c>
      <c r="M15" s="20" t="n">
        <v>1</v>
      </c>
      <c r="N15" s="20" t="n">
        <v>1</v>
      </c>
      <c r="O15" s="20" t="n">
        <v>1</v>
      </c>
      <c r="P15" s="20" t="n">
        <v>1</v>
      </c>
    </row>
    <row r="16" customFormat="false" ht="15" hidden="false" customHeight="true" outlineLevel="0" collapsed="false">
      <c r="A16" s="17" t="s">
        <v>508</v>
      </c>
      <c r="B16" s="20" t="n">
        <v>0.95</v>
      </c>
      <c r="C16" s="20" t="n">
        <v>1</v>
      </c>
      <c r="D16" s="20" t="n">
        <v>1.15</v>
      </c>
      <c r="E16" s="20" t="n">
        <v>0.95</v>
      </c>
      <c r="F16" s="20" t="n">
        <v>1</v>
      </c>
      <c r="G16" s="20" t="n">
        <v>1.05</v>
      </c>
    </row>
    <row r="17" customFormat="false" ht="17.25" hidden="false" customHeight="true" outlineLevel="0" collapsed="false">
      <c r="A17" s="17" t="s">
        <v>509</v>
      </c>
      <c r="B17" s="20" t="n">
        <v>0.95</v>
      </c>
      <c r="C17" s="20" t="n">
        <v>1</v>
      </c>
      <c r="D17" s="20" t="n">
        <v>1.1</v>
      </c>
      <c r="E17" s="20" t="n">
        <v>1.05</v>
      </c>
      <c r="F17" s="20" t="n">
        <v>1</v>
      </c>
      <c r="G17" s="20" t="n">
        <v>1</v>
      </c>
      <c r="J17" s="15" t="s">
        <v>510</v>
      </c>
    </row>
    <row r="18" customFormat="false" ht="15" hidden="false" customHeight="true" outlineLevel="0" collapsed="false">
      <c r="A18" s="17" t="s">
        <v>511</v>
      </c>
      <c r="B18" s="20" t="n">
        <v>0.9</v>
      </c>
      <c r="C18" s="20" t="n">
        <v>0.95</v>
      </c>
      <c r="D18" s="20" t="n">
        <v>1.2</v>
      </c>
      <c r="E18" s="20" t="n">
        <v>1</v>
      </c>
      <c r="F18" s="20" t="n">
        <v>1.05</v>
      </c>
      <c r="G18" s="20" t="n">
        <v>1</v>
      </c>
    </row>
    <row r="19" customFormat="false" ht="27.75" hidden="false" customHeight="true" outlineLevel="0" collapsed="false">
      <c r="A19" s="17" t="s">
        <v>512</v>
      </c>
      <c r="B19" s="20" t="n">
        <v>0.95</v>
      </c>
      <c r="C19" s="20" t="n">
        <v>1</v>
      </c>
      <c r="D19" s="20" t="n">
        <v>1.05</v>
      </c>
      <c r="E19" s="20" t="n">
        <v>1</v>
      </c>
      <c r="F19" s="20" t="n">
        <v>1.2</v>
      </c>
      <c r="G19" s="20" t="n">
        <v>1</v>
      </c>
      <c r="J19" s="16" t="s">
        <v>513</v>
      </c>
      <c r="K19" s="16" t="s">
        <v>486</v>
      </c>
      <c r="L19" s="16" t="s">
        <v>487</v>
      </c>
      <c r="M19" s="16" t="s">
        <v>488</v>
      </c>
      <c r="N19" s="16" t="s">
        <v>489</v>
      </c>
      <c r="O19" s="16" t="s">
        <v>490</v>
      </c>
      <c r="P19" s="16" t="s">
        <v>491</v>
      </c>
    </row>
    <row r="20" customFormat="false" ht="15" hidden="false" customHeight="true" outlineLevel="0" collapsed="false">
      <c r="J20" s="17" t="s">
        <v>514</v>
      </c>
      <c r="K20" s="20" t="n">
        <v>1.2</v>
      </c>
      <c r="L20" s="20" t="n">
        <v>0.95</v>
      </c>
      <c r="M20" s="20" t="n">
        <v>1</v>
      </c>
      <c r="N20" s="20" t="n">
        <v>1.1</v>
      </c>
      <c r="O20" s="20" t="n">
        <v>0.95</v>
      </c>
      <c r="P20" s="20" t="n">
        <v>0.95</v>
      </c>
    </row>
    <row r="21" customFormat="false" ht="17.25" hidden="false" customHeight="true" outlineLevel="0" collapsed="false">
      <c r="A21" s="15" t="s">
        <v>515</v>
      </c>
      <c r="J21" s="17" t="s">
        <v>516</v>
      </c>
      <c r="K21" s="20" t="n">
        <v>1.2</v>
      </c>
      <c r="L21" s="20" t="n">
        <v>0.95</v>
      </c>
      <c r="M21" s="20" t="n">
        <v>0.95</v>
      </c>
      <c r="N21" s="20" t="n">
        <v>1.05</v>
      </c>
      <c r="O21" s="20" t="n">
        <v>0.95</v>
      </c>
      <c r="P21" s="20" t="n">
        <v>0.95</v>
      </c>
    </row>
    <row r="22" customFormat="false" ht="15" hidden="false" customHeight="true" outlineLevel="0" collapsed="false">
      <c r="J22" s="17" t="s">
        <v>517</v>
      </c>
      <c r="K22" s="20" t="n">
        <v>0.95</v>
      </c>
      <c r="L22" s="20" t="n">
        <v>1.2</v>
      </c>
      <c r="M22" s="20" t="n">
        <v>1</v>
      </c>
      <c r="N22" s="20" t="n">
        <v>0.95</v>
      </c>
      <c r="O22" s="20" t="n">
        <v>1</v>
      </c>
      <c r="P22" s="20" t="n">
        <v>1</v>
      </c>
    </row>
    <row r="23" customFormat="false" ht="27.75" hidden="false" customHeight="true" outlineLevel="0" collapsed="false">
      <c r="A23" s="16" t="s">
        <v>456</v>
      </c>
      <c r="B23" s="16" t="s">
        <v>486</v>
      </c>
      <c r="C23" s="16" t="s">
        <v>487</v>
      </c>
      <c r="D23" s="16" t="s">
        <v>488</v>
      </c>
      <c r="E23" s="16" t="s">
        <v>489</v>
      </c>
      <c r="F23" s="16" t="s">
        <v>490</v>
      </c>
      <c r="G23" s="16" t="s">
        <v>491</v>
      </c>
      <c r="J23" s="17" t="s">
        <v>518</v>
      </c>
      <c r="K23" s="20" t="n">
        <v>1.05</v>
      </c>
      <c r="L23" s="20" t="n">
        <v>1.1</v>
      </c>
      <c r="M23" s="20" t="n">
        <v>0.95</v>
      </c>
      <c r="N23" s="20" t="n">
        <v>1</v>
      </c>
      <c r="O23" s="20" t="n">
        <v>0.95</v>
      </c>
      <c r="P23" s="20" t="n">
        <v>1</v>
      </c>
    </row>
    <row r="24" customFormat="false" ht="15" hidden="false" customHeight="true" outlineLevel="0" collapsed="false">
      <c r="A24" s="17" t="s">
        <v>519</v>
      </c>
      <c r="B24" s="20" t="n">
        <v>0.95</v>
      </c>
      <c r="C24" s="20" t="n">
        <v>1.05</v>
      </c>
      <c r="D24" s="20" t="n">
        <v>1</v>
      </c>
      <c r="E24" s="20" t="n">
        <v>0.8</v>
      </c>
      <c r="F24" s="20" t="n">
        <v>1</v>
      </c>
      <c r="G24" s="20" t="n">
        <v>1</v>
      </c>
      <c r="J24" s="17" t="s">
        <v>520</v>
      </c>
      <c r="K24" s="20" t="n">
        <v>0.9</v>
      </c>
      <c r="L24" s="20" t="n">
        <v>1.15</v>
      </c>
      <c r="M24" s="20" t="n">
        <v>1</v>
      </c>
      <c r="N24" s="20" t="n">
        <v>0.9</v>
      </c>
      <c r="O24" s="20" t="n">
        <v>1</v>
      </c>
      <c r="P24" s="20" t="n">
        <v>1</v>
      </c>
    </row>
    <row r="25" customFormat="false" ht="15" hidden="false" customHeight="true" outlineLevel="0" collapsed="false">
      <c r="A25" s="17" t="s">
        <v>25</v>
      </c>
      <c r="B25" s="20" t="n">
        <v>1</v>
      </c>
      <c r="C25" s="20" t="n">
        <v>1</v>
      </c>
      <c r="D25" s="20" t="n">
        <v>1</v>
      </c>
      <c r="E25" s="20" t="n">
        <v>1</v>
      </c>
      <c r="F25" s="20" t="n">
        <v>1</v>
      </c>
      <c r="G25" s="20" t="n">
        <v>1</v>
      </c>
      <c r="J25" s="17" t="s">
        <v>521</v>
      </c>
      <c r="K25" s="20" t="n">
        <v>0.9</v>
      </c>
      <c r="L25" s="20" t="n">
        <v>0.95</v>
      </c>
      <c r="M25" s="20" t="n">
        <v>1.25</v>
      </c>
      <c r="N25" s="20" t="n">
        <v>0.95</v>
      </c>
      <c r="O25" s="20" t="n">
        <v>1</v>
      </c>
      <c r="P25" s="20" t="n">
        <v>1</v>
      </c>
    </row>
    <row r="26" customFormat="false" ht="15" hidden="false" customHeight="true" outlineLevel="0" collapsed="false">
      <c r="A26" s="17" t="s">
        <v>16</v>
      </c>
      <c r="B26" s="20" t="n">
        <v>1.05</v>
      </c>
      <c r="C26" s="20" t="n">
        <v>0.95</v>
      </c>
      <c r="D26" s="20" t="n">
        <v>1</v>
      </c>
      <c r="E26" s="20" t="n">
        <v>1.25</v>
      </c>
      <c r="F26" s="20" t="n">
        <v>1</v>
      </c>
      <c r="G26" s="20" t="n">
        <v>0.95</v>
      </c>
      <c r="J26" s="17" t="s">
        <v>522</v>
      </c>
      <c r="K26" s="20" t="n">
        <v>0.9</v>
      </c>
      <c r="L26" s="20" t="n">
        <v>0.95</v>
      </c>
      <c r="M26" s="20" t="n">
        <v>1.25</v>
      </c>
      <c r="N26" s="20" t="n">
        <v>0.95</v>
      </c>
      <c r="O26" s="20" t="n">
        <v>1</v>
      </c>
      <c r="P26" s="20" t="n">
        <v>1</v>
      </c>
    </row>
    <row r="27" customFormat="false" ht="15" hidden="false" customHeight="true" outlineLevel="0" collapsed="false">
      <c r="J27" s="17" t="s">
        <v>523</v>
      </c>
      <c r="K27" s="20" t="n">
        <v>0.9</v>
      </c>
      <c r="L27" s="20" t="n">
        <v>0.95</v>
      </c>
      <c r="M27" s="20" t="n">
        <v>1.3</v>
      </c>
      <c r="N27" s="20" t="n">
        <v>1</v>
      </c>
      <c r="O27" s="20" t="n">
        <v>1</v>
      </c>
      <c r="P27" s="20" t="n">
        <v>1</v>
      </c>
    </row>
    <row r="28" customFormat="false" ht="17.25" hidden="false" customHeight="true" outlineLevel="0" collapsed="false">
      <c r="A28" s="15" t="s">
        <v>524</v>
      </c>
      <c r="J28" s="17" t="s">
        <v>525</v>
      </c>
      <c r="K28" s="20" t="n">
        <v>1.05</v>
      </c>
      <c r="L28" s="20" t="n">
        <v>0.95</v>
      </c>
      <c r="M28" s="20" t="n">
        <v>1</v>
      </c>
      <c r="N28" s="20" t="n">
        <v>1.3</v>
      </c>
      <c r="O28" s="20" t="n">
        <v>0.95</v>
      </c>
      <c r="P28" s="20" t="n">
        <v>0.95</v>
      </c>
    </row>
    <row r="29" customFormat="false" ht="15" hidden="false" customHeight="true" outlineLevel="0" collapsed="false">
      <c r="J29" s="17" t="s">
        <v>526</v>
      </c>
      <c r="K29" s="20" t="n">
        <v>0.95</v>
      </c>
      <c r="L29" s="20" t="n">
        <v>1</v>
      </c>
      <c r="M29" s="20" t="n">
        <v>1</v>
      </c>
      <c r="N29" s="20" t="n">
        <v>0.95</v>
      </c>
      <c r="O29" s="20" t="n">
        <v>1.2</v>
      </c>
      <c r="P29" s="20" t="n">
        <v>1</v>
      </c>
    </row>
    <row r="30" customFormat="false" ht="27.75" hidden="false" customHeight="true" outlineLevel="0" collapsed="false">
      <c r="A30" s="16" t="s">
        <v>457</v>
      </c>
      <c r="B30" s="16" t="s">
        <v>486</v>
      </c>
      <c r="C30" s="16" t="s">
        <v>487</v>
      </c>
      <c r="D30" s="16" t="s">
        <v>488</v>
      </c>
      <c r="E30" s="16" t="s">
        <v>489</v>
      </c>
      <c r="F30" s="16" t="s">
        <v>490</v>
      </c>
      <c r="G30" s="16" t="s">
        <v>491</v>
      </c>
      <c r="J30" s="17" t="s">
        <v>527</v>
      </c>
      <c r="K30" s="20" t="n">
        <v>0.95</v>
      </c>
      <c r="L30" s="20" t="n">
        <v>1</v>
      </c>
      <c r="M30" s="20" t="n">
        <v>1</v>
      </c>
      <c r="N30" s="20" t="n">
        <v>0.95</v>
      </c>
      <c r="O30" s="20" t="n">
        <v>1.2</v>
      </c>
      <c r="P30" s="20" t="n">
        <v>1</v>
      </c>
    </row>
    <row r="31" customFormat="false" ht="27.75" hidden="false" customHeight="true" outlineLevel="0" collapsed="false">
      <c r="A31" s="17" t="s">
        <v>528</v>
      </c>
      <c r="B31" s="20" t="n">
        <v>1</v>
      </c>
      <c r="C31" s="20" t="n">
        <v>1</v>
      </c>
      <c r="D31" s="20" t="n">
        <v>0.95</v>
      </c>
      <c r="E31" s="20" t="n">
        <v>1</v>
      </c>
      <c r="F31" s="20" t="n">
        <v>1</v>
      </c>
      <c r="G31" s="20" t="n">
        <v>0.8</v>
      </c>
      <c r="J31" s="17" t="s">
        <v>529</v>
      </c>
      <c r="K31" s="20" t="n">
        <v>0.95</v>
      </c>
      <c r="L31" s="20" t="n">
        <v>1</v>
      </c>
      <c r="M31" s="20" t="n">
        <v>1</v>
      </c>
      <c r="N31" s="20" t="n">
        <v>0.95</v>
      </c>
      <c r="O31" s="20" t="n">
        <v>1.25</v>
      </c>
      <c r="P31" s="20" t="n">
        <v>1</v>
      </c>
    </row>
    <row r="32" customFormat="false" ht="15" hidden="false" customHeight="true" outlineLevel="0" collapsed="false">
      <c r="A32" s="17" t="s">
        <v>458</v>
      </c>
      <c r="B32" s="20" t="n">
        <v>1.05</v>
      </c>
      <c r="C32" s="20" t="n">
        <v>0.95</v>
      </c>
      <c r="D32" s="20" t="n">
        <v>1.05</v>
      </c>
      <c r="E32" s="20" t="n">
        <v>1</v>
      </c>
      <c r="F32" s="20" t="n">
        <v>1</v>
      </c>
      <c r="G32" s="20" t="n">
        <v>1.2</v>
      </c>
      <c r="J32" s="17" t="s">
        <v>530</v>
      </c>
      <c r="K32" s="20" t="n">
        <v>1.1</v>
      </c>
      <c r="L32" s="20" t="n">
        <v>1.05</v>
      </c>
      <c r="M32" s="20" t="n">
        <v>0.95</v>
      </c>
      <c r="N32" s="20" t="n">
        <v>1.05</v>
      </c>
      <c r="O32" s="20" t="n">
        <v>1</v>
      </c>
      <c r="P32" s="20" t="n">
        <v>0.95</v>
      </c>
    </row>
    <row r="33" customFormat="false" ht="15" hidden="false" customHeight="true" outlineLevel="0" collapsed="false">
      <c r="A33" s="17" t="s">
        <v>531</v>
      </c>
      <c r="B33" s="20" t="n">
        <v>1</v>
      </c>
      <c r="C33" s="20" t="n">
        <v>0.95</v>
      </c>
      <c r="D33" s="20" t="n">
        <v>1</v>
      </c>
      <c r="E33" s="20" t="n">
        <v>1</v>
      </c>
      <c r="F33" s="20" t="n">
        <v>1</v>
      </c>
      <c r="G33" s="20" t="n">
        <v>1.25</v>
      </c>
      <c r="J33" s="17" t="s">
        <v>532</v>
      </c>
      <c r="K33" s="20" t="n">
        <v>0.95</v>
      </c>
      <c r="L33" s="20" t="n">
        <v>1.1</v>
      </c>
      <c r="M33" s="20" t="n">
        <v>1.1</v>
      </c>
      <c r="N33" s="20" t="n">
        <v>1</v>
      </c>
      <c r="O33" s="20" t="n">
        <v>1.05</v>
      </c>
      <c r="P33" s="20" t="n">
        <v>1.05</v>
      </c>
    </row>
    <row r="34" customFormat="false" ht="15" hidden="false" customHeight="true" outlineLevel="0" collapsed="false">
      <c r="A34" s="17" t="s">
        <v>533</v>
      </c>
      <c r="B34" s="20" t="n">
        <v>0.95</v>
      </c>
      <c r="C34" s="20" t="n">
        <v>0.95</v>
      </c>
      <c r="D34" s="20" t="n">
        <v>1.1</v>
      </c>
      <c r="E34" s="20" t="n">
        <v>0.95</v>
      </c>
      <c r="F34" s="20" t="n">
        <v>1</v>
      </c>
      <c r="G34" s="20" t="n">
        <v>1.15</v>
      </c>
      <c r="J34" s="17" t="s">
        <v>534</v>
      </c>
      <c r="K34" s="20" t="n">
        <v>1.15</v>
      </c>
      <c r="L34" s="20" t="n">
        <v>0.95</v>
      </c>
      <c r="M34" s="20" t="n">
        <v>1</v>
      </c>
      <c r="N34" s="20" t="n">
        <v>1</v>
      </c>
      <c r="O34" s="20" t="n">
        <v>1</v>
      </c>
      <c r="P34" s="20" t="n">
        <v>1.1</v>
      </c>
    </row>
    <row r="35" customFormat="false" ht="27.75" hidden="false" customHeight="true" outlineLevel="0" collapsed="false">
      <c r="A35" s="17" t="s">
        <v>535</v>
      </c>
      <c r="B35" s="20" t="n">
        <v>1</v>
      </c>
      <c r="C35" s="20" t="n">
        <v>0.95</v>
      </c>
      <c r="D35" s="20" t="n">
        <v>1.05</v>
      </c>
      <c r="E35" s="20" t="n">
        <v>1</v>
      </c>
      <c r="F35" s="20" t="n">
        <v>1</v>
      </c>
      <c r="G35" s="20" t="n">
        <v>1.2</v>
      </c>
      <c r="J35" s="17" t="s">
        <v>536</v>
      </c>
      <c r="K35" s="20" t="n">
        <v>0.9</v>
      </c>
      <c r="L35" s="20" t="n">
        <v>1.15</v>
      </c>
      <c r="M35" s="20" t="n">
        <v>1</v>
      </c>
      <c r="N35" s="20" t="n">
        <v>0.95</v>
      </c>
      <c r="O35" s="20" t="n">
        <v>1</v>
      </c>
      <c r="P35" s="20" t="n">
        <v>1.05</v>
      </c>
    </row>
    <row r="36" customFormat="false" ht="15" hidden="false" customHeight="true" outlineLevel="0" collapsed="false">
      <c r="J36" s="17" t="s">
        <v>537</v>
      </c>
      <c r="K36" s="20" t="n">
        <v>0.9</v>
      </c>
      <c r="L36" s="20" t="n">
        <v>1.05</v>
      </c>
      <c r="M36" s="20" t="n">
        <v>1.15</v>
      </c>
      <c r="N36" s="20" t="n">
        <v>0.95</v>
      </c>
      <c r="O36" s="20" t="n">
        <v>1</v>
      </c>
      <c r="P36" s="20" t="n">
        <v>1.05</v>
      </c>
    </row>
    <row r="37" customFormat="false" ht="15" hidden="false" customHeight="true" outlineLevel="0" collapsed="false">
      <c r="J37" s="17" t="s">
        <v>538</v>
      </c>
      <c r="K37" s="20" t="n">
        <v>1.05</v>
      </c>
      <c r="L37" s="20" t="n">
        <v>0.95</v>
      </c>
      <c r="M37" s="20" t="n">
        <v>1</v>
      </c>
      <c r="N37" s="20" t="n">
        <v>1.15</v>
      </c>
      <c r="O37" s="20" t="n">
        <v>1</v>
      </c>
      <c r="P37" s="20" t="n">
        <v>0.95</v>
      </c>
    </row>
    <row r="38" customFormat="false" ht="15" hidden="false" customHeight="true" outlineLevel="0" collapsed="false">
      <c r="J38" s="17" t="s">
        <v>539</v>
      </c>
      <c r="K38" s="20" t="n">
        <v>0.95</v>
      </c>
      <c r="L38" s="20" t="n">
        <v>1</v>
      </c>
      <c r="M38" s="20" t="n">
        <v>1</v>
      </c>
      <c r="N38" s="20" t="n">
        <v>0.95</v>
      </c>
      <c r="O38" s="20" t="n">
        <v>0.95</v>
      </c>
      <c r="P38" s="20" t="n">
        <v>1.25</v>
      </c>
    </row>
    <row r="39" customFormat="false" ht="15" hidden="false" customHeight="true" outlineLevel="0" collapsed="false">
      <c r="J39" s="17" t="s">
        <v>540</v>
      </c>
      <c r="K39" s="20" t="n">
        <v>0.95</v>
      </c>
      <c r="L39" s="20" t="n">
        <v>0.95</v>
      </c>
      <c r="M39" s="20" t="n">
        <v>1.1</v>
      </c>
      <c r="N39" s="20" t="n">
        <v>0.95</v>
      </c>
      <c r="O39" s="20" t="n">
        <v>0.95</v>
      </c>
      <c r="P39" s="20" t="n">
        <v>1.25</v>
      </c>
    </row>
    <row r="40" customFormat="false" ht="15" hidden="false" customHeight="true" outlineLevel="0" collapsed="false">
      <c r="J40" s="17" t="s">
        <v>541</v>
      </c>
      <c r="K40" s="20" t="n">
        <v>1</v>
      </c>
      <c r="L40" s="20" t="n">
        <v>1</v>
      </c>
      <c r="M40" s="20" t="n">
        <v>1</v>
      </c>
      <c r="N40" s="20" t="n">
        <v>1</v>
      </c>
      <c r="O40" s="20" t="n">
        <v>1</v>
      </c>
      <c r="P40" s="20" t="n">
        <v>1.15</v>
      </c>
    </row>
    <row r="41" customFormat="false" ht="15" hidden="false" customHeight="true" outlineLevel="0" collapsed="false">
      <c r="J41" s="17" t="s">
        <v>542</v>
      </c>
      <c r="K41" s="20" t="n">
        <v>0.95</v>
      </c>
      <c r="L41" s="20" t="n">
        <v>1.05</v>
      </c>
      <c r="M41" s="20" t="n">
        <v>1</v>
      </c>
      <c r="N41" s="20" t="n">
        <v>0.95</v>
      </c>
      <c r="O41" s="20" t="n">
        <v>1</v>
      </c>
      <c r="P41" s="20" t="n">
        <v>1.1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48"/>
    <col collapsed="false" customWidth="true" hidden="false" outlineLevel="0" max="6" min="6" style="0" width="17"/>
    <col collapsed="false" customWidth="true" hidden="false" outlineLevel="0" max="8" min="7" style="0" width="20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22" t="s">
        <v>543</v>
      </c>
    </row>
    <row r="2" customFormat="false" ht="13.8" hidden="false" customHeight="false" outlineLevel="0" collapsed="false"/>
    <row r="3" customFormat="false" ht="13.8" hidden="false" customHeight="false" outlineLevel="0" collapsed="false">
      <c r="A3" s="21" t="s">
        <v>452</v>
      </c>
      <c r="B3" s="21" t="s">
        <v>544</v>
      </c>
      <c r="C3" s="21" t="s">
        <v>545</v>
      </c>
      <c r="D3" s="21" t="s">
        <v>482</v>
      </c>
      <c r="E3" s="21" t="s">
        <v>473</v>
      </c>
      <c r="F3" s="21" t="s">
        <v>474</v>
      </c>
      <c r="G3" s="21" t="s">
        <v>480</v>
      </c>
      <c r="H3" s="21" t="s">
        <v>481</v>
      </c>
      <c r="I3" s="21" t="s">
        <v>472</v>
      </c>
    </row>
    <row r="4" customFormat="false" ht="14.9" hidden="false" customHeight="false" outlineLevel="0" collapsed="false">
      <c r="A4" s="23" t="s">
        <v>453</v>
      </c>
      <c r="B4" s="24" t="n">
        <v>1</v>
      </c>
      <c r="C4" s="23" t="s">
        <v>486</v>
      </c>
      <c r="D4" s="23" t="s">
        <v>486</v>
      </c>
      <c r="E4" s="23" t="s">
        <v>546</v>
      </c>
      <c r="F4" s="24" t="n">
        <v>0.2</v>
      </c>
      <c r="G4" s="24" t="n">
        <v>1.15</v>
      </c>
      <c r="H4" s="24" t="n">
        <v>0.88</v>
      </c>
      <c r="I4" s="24" t="n">
        <v>1</v>
      </c>
    </row>
    <row r="5" customFormat="false" ht="28.35" hidden="false" customHeight="false" outlineLevel="0" collapsed="false">
      <c r="A5" s="23" t="s">
        <v>453</v>
      </c>
      <c r="B5" s="24" t="n">
        <v>2</v>
      </c>
      <c r="C5" s="23" t="s">
        <v>487</v>
      </c>
      <c r="D5" s="23" t="s">
        <v>487</v>
      </c>
      <c r="E5" s="23" t="s">
        <v>547</v>
      </c>
      <c r="F5" s="24" t="n">
        <v>0.24</v>
      </c>
      <c r="G5" s="24" t="n">
        <v>0.95</v>
      </c>
      <c r="H5" s="24" t="n">
        <v>1.1</v>
      </c>
      <c r="I5" s="24" t="n">
        <v>1</v>
      </c>
    </row>
    <row r="6" customFormat="false" ht="28.35" hidden="false" customHeight="false" outlineLevel="0" collapsed="false">
      <c r="A6" s="23" t="s">
        <v>453</v>
      </c>
      <c r="B6" s="24" t="n">
        <v>3</v>
      </c>
      <c r="C6" s="23" t="s">
        <v>548</v>
      </c>
      <c r="D6" s="23" t="s">
        <v>490</v>
      </c>
      <c r="E6" s="23" t="s">
        <v>549</v>
      </c>
      <c r="F6" s="24" t="n">
        <v>0.12</v>
      </c>
      <c r="G6" s="24" t="n">
        <v>0.85</v>
      </c>
      <c r="H6" s="24" t="n">
        <v>1.05</v>
      </c>
      <c r="I6" s="24" t="n">
        <v>1</v>
      </c>
    </row>
    <row r="7" customFormat="false" ht="14.9" hidden="false" customHeight="false" outlineLevel="0" collapsed="false">
      <c r="A7" s="23" t="s">
        <v>453</v>
      </c>
      <c r="B7" s="24" t="n">
        <v>4</v>
      </c>
      <c r="C7" s="23" t="s">
        <v>488</v>
      </c>
      <c r="D7" s="23" t="s">
        <v>488</v>
      </c>
      <c r="E7" s="23" t="s">
        <v>550</v>
      </c>
      <c r="F7" s="24" t="n">
        <v>0.18</v>
      </c>
      <c r="G7" s="24" t="n">
        <v>0.8</v>
      </c>
      <c r="H7" s="24" t="n">
        <v>1.2</v>
      </c>
      <c r="I7" s="24" t="n">
        <v>1</v>
      </c>
    </row>
    <row r="8" customFormat="false" ht="14.9" hidden="false" customHeight="false" outlineLevel="0" collapsed="false">
      <c r="A8" s="23" t="s">
        <v>453</v>
      </c>
      <c r="B8" s="24" t="n">
        <v>5</v>
      </c>
      <c r="C8" s="23" t="s">
        <v>551</v>
      </c>
      <c r="D8" s="23" t="s">
        <v>489</v>
      </c>
      <c r="E8" s="23" t="s">
        <v>552</v>
      </c>
      <c r="F8" s="24" t="n">
        <v>0.14</v>
      </c>
      <c r="G8" s="24" t="n">
        <v>1.25</v>
      </c>
      <c r="H8" s="24" t="n">
        <v>0.9</v>
      </c>
      <c r="I8" s="24" t="n">
        <v>1</v>
      </c>
    </row>
    <row r="9" customFormat="false" ht="28.35" hidden="false" customHeight="false" outlineLevel="0" collapsed="false">
      <c r="A9" s="23" t="s">
        <v>453</v>
      </c>
      <c r="B9" s="24" t="n">
        <v>6</v>
      </c>
      <c r="C9" s="23" t="s">
        <v>491</v>
      </c>
      <c r="D9" s="23" t="s">
        <v>491</v>
      </c>
      <c r="E9" s="23" t="s">
        <v>553</v>
      </c>
      <c r="F9" s="24" t="n">
        <v>0.12</v>
      </c>
      <c r="G9" s="24" t="n">
        <v>0.9</v>
      </c>
      <c r="H9" s="24" t="n">
        <v>1.12</v>
      </c>
      <c r="I9" s="24" t="n">
        <v>-1</v>
      </c>
    </row>
    <row r="10" customFormat="false" ht="28.35" hidden="false" customHeight="false" outlineLevel="0" collapsed="false">
      <c r="A10" s="23" t="s">
        <v>492</v>
      </c>
      <c r="B10" s="24" t="n">
        <v>1</v>
      </c>
      <c r="C10" s="23" t="s">
        <v>554</v>
      </c>
      <c r="D10" s="23" t="s">
        <v>486</v>
      </c>
      <c r="E10" s="23" t="s">
        <v>555</v>
      </c>
      <c r="F10" s="24" t="n">
        <v>0.24</v>
      </c>
      <c r="G10" s="24" t="n">
        <v>1.2</v>
      </c>
      <c r="H10" s="24" t="n">
        <v>0.85</v>
      </c>
      <c r="I10" s="24" t="n">
        <v>1</v>
      </c>
    </row>
    <row r="11" customFormat="false" ht="28.35" hidden="false" customHeight="false" outlineLevel="0" collapsed="false">
      <c r="A11" s="23" t="s">
        <v>492</v>
      </c>
      <c r="B11" s="24" t="n">
        <v>2</v>
      </c>
      <c r="C11" s="23" t="s">
        <v>556</v>
      </c>
      <c r="D11" s="23" t="s">
        <v>487</v>
      </c>
      <c r="E11" s="23" t="s">
        <v>557</v>
      </c>
      <c r="F11" s="24" t="n">
        <v>0.24</v>
      </c>
      <c r="G11" s="24" t="n">
        <v>0.95</v>
      </c>
      <c r="H11" s="24" t="n">
        <v>1.08</v>
      </c>
      <c r="I11" s="24" t="n">
        <v>1</v>
      </c>
    </row>
    <row r="12" customFormat="false" ht="28.35" hidden="false" customHeight="false" outlineLevel="0" collapsed="false">
      <c r="A12" s="23" t="s">
        <v>492</v>
      </c>
      <c r="B12" s="24" t="n">
        <v>3</v>
      </c>
      <c r="C12" s="23" t="s">
        <v>558</v>
      </c>
      <c r="D12" s="23" t="s">
        <v>489</v>
      </c>
      <c r="E12" s="23" t="s">
        <v>559</v>
      </c>
      <c r="F12" s="24" t="n">
        <v>0.12</v>
      </c>
      <c r="G12" s="24" t="n">
        <v>1.1</v>
      </c>
      <c r="H12" s="24" t="n">
        <v>0.92</v>
      </c>
      <c r="I12" s="24" t="n">
        <v>1</v>
      </c>
    </row>
    <row r="13" customFormat="false" ht="14.9" hidden="false" customHeight="false" outlineLevel="0" collapsed="false">
      <c r="A13" s="23" t="s">
        <v>492</v>
      </c>
      <c r="B13" s="24" t="n">
        <v>4</v>
      </c>
      <c r="C13" s="23" t="s">
        <v>488</v>
      </c>
      <c r="D13" s="23" t="s">
        <v>488</v>
      </c>
      <c r="E13" s="23" t="s">
        <v>560</v>
      </c>
      <c r="F13" s="24" t="n">
        <v>0.15</v>
      </c>
      <c r="G13" s="24" t="n">
        <v>0.82</v>
      </c>
      <c r="H13" s="24" t="n">
        <v>1.18</v>
      </c>
      <c r="I13" s="24" t="n">
        <v>1</v>
      </c>
    </row>
    <row r="14" customFormat="false" ht="28.35" hidden="false" customHeight="false" outlineLevel="0" collapsed="false">
      <c r="A14" s="23" t="s">
        <v>492</v>
      </c>
      <c r="B14" s="24" t="n">
        <v>5</v>
      </c>
      <c r="C14" s="23" t="s">
        <v>561</v>
      </c>
      <c r="D14" s="23" t="s">
        <v>490</v>
      </c>
      <c r="E14" s="23" t="s">
        <v>562</v>
      </c>
      <c r="F14" s="24" t="n">
        <v>0.13</v>
      </c>
      <c r="G14" s="24" t="n">
        <v>0.9</v>
      </c>
      <c r="H14" s="24" t="n">
        <v>1.05</v>
      </c>
      <c r="I14" s="24" t="n">
        <v>1</v>
      </c>
    </row>
    <row r="15" customFormat="false" ht="28.35" hidden="false" customHeight="false" outlineLevel="0" collapsed="false">
      <c r="A15" s="23" t="s">
        <v>492</v>
      </c>
      <c r="B15" s="24" t="n">
        <v>6</v>
      </c>
      <c r="C15" s="23" t="s">
        <v>491</v>
      </c>
      <c r="D15" s="23" t="s">
        <v>491</v>
      </c>
      <c r="E15" s="23" t="s">
        <v>563</v>
      </c>
      <c r="F15" s="24" t="n">
        <v>0.12</v>
      </c>
      <c r="G15" s="24" t="n">
        <v>0.88</v>
      </c>
      <c r="H15" s="24" t="n">
        <v>1.1</v>
      </c>
      <c r="I15" s="24" t="n">
        <v>-1</v>
      </c>
    </row>
    <row r="16" customFormat="false" ht="28.35" hidden="false" customHeight="false" outlineLevel="0" collapsed="false">
      <c r="A16" s="23" t="s">
        <v>493</v>
      </c>
      <c r="B16" s="24" t="n">
        <v>1</v>
      </c>
      <c r="C16" s="23" t="s">
        <v>564</v>
      </c>
      <c r="D16" s="23" t="s">
        <v>486</v>
      </c>
      <c r="E16" s="23" t="s">
        <v>565</v>
      </c>
      <c r="F16" s="24" t="n">
        <v>0.18</v>
      </c>
      <c r="G16" s="24" t="n">
        <v>1.1</v>
      </c>
      <c r="H16" s="24" t="n">
        <v>0.9</v>
      </c>
      <c r="I16" s="24" t="n">
        <v>1</v>
      </c>
    </row>
    <row r="17" customFormat="false" ht="28.35" hidden="false" customHeight="false" outlineLevel="0" collapsed="false">
      <c r="A17" s="23" t="s">
        <v>493</v>
      </c>
      <c r="B17" s="24" t="n">
        <v>2</v>
      </c>
      <c r="C17" s="23" t="s">
        <v>566</v>
      </c>
      <c r="D17" s="23" t="s">
        <v>487</v>
      </c>
      <c r="E17" s="23" t="s">
        <v>567</v>
      </c>
      <c r="F17" s="24" t="n">
        <v>0.24</v>
      </c>
      <c r="G17" s="24" t="n">
        <v>0.98</v>
      </c>
      <c r="H17" s="24" t="n">
        <v>1.08</v>
      </c>
      <c r="I17" s="24" t="n">
        <v>1</v>
      </c>
    </row>
    <row r="18" customFormat="false" ht="28.35" hidden="false" customHeight="false" outlineLevel="0" collapsed="false">
      <c r="A18" s="23" t="s">
        <v>493</v>
      </c>
      <c r="B18" s="24" t="n">
        <v>3</v>
      </c>
      <c r="C18" s="23" t="s">
        <v>568</v>
      </c>
      <c r="D18" s="23" t="s">
        <v>490</v>
      </c>
      <c r="E18" s="23" t="s">
        <v>569</v>
      </c>
      <c r="F18" s="24" t="n">
        <v>0.16</v>
      </c>
      <c r="G18" s="24" t="n">
        <v>0.92</v>
      </c>
      <c r="H18" s="24" t="n">
        <v>1.04</v>
      </c>
      <c r="I18" s="24" t="n">
        <v>1</v>
      </c>
    </row>
    <row r="19" customFormat="false" ht="14.9" hidden="false" customHeight="false" outlineLevel="0" collapsed="false">
      <c r="A19" s="23" t="s">
        <v>493</v>
      </c>
      <c r="B19" s="24" t="n">
        <v>4</v>
      </c>
      <c r="C19" s="23" t="s">
        <v>488</v>
      </c>
      <c r="D19" s="23" t="s">
        <v>488</v>
      </c>
      <c r="E19" s="23" t="s">
        <v>570</v>
      </c>
      <c r="F19" s="24" t="n">
        <v>0.18</v>
      </c>
      <c r="G19" s="24" t="n">
        <v>0.82</v>
      </c>
      <c r="H19" s="24" t="n">
        <v>1.18</v>
      </c>
      <c r="I19" s="24" t="n">
        <v>1</v>
      </c>
    </row>
    <row r="20" customFormat="false" ht="28.35" hidden="false" customHeight="false" outlineLevel="0" collapsed="false">
      <c r="A20" s="23" t="s">
        <v>493</v>
      </c>
      <c r="B20" s="24" t="n">
        <v>5</v>
      </c>
      <c r="C20" s="23" t="s">
        <v>571</v>
      </c>
      <c r="D20" s="23" t="s">
        <v>490</v>
      </c>
      <c r="E20" s="23" t="s">
        <v>572</v>
      </c>
      <c r="F20" s="24" t="n">
        <v>0.12</v>
      </c>
      <c r="G20" s="24" t="n">
        <v>0.88</v>
      </c>
      <c r="H20" s="24" t="n">
        <v>1.05</v>
      </c>
      <c r="I20" s="24" t="n">
        <v>1</v>
      </c>
    </row>
    <row r="21" customFormat="false" ht="28.35" hidden="false" customHeight="false" outlineLevel="0" collapsed="false">
      <c r="A21" s="23" t="s">
        <v>493</v>
      </c>
      <c r="B21" s="24" t="n">
        <v>6</v>
      </c>
      <c r="C21" s="23" t="s">
        <v>573</v>
      </c>
      <c r="D21" s="23" t="s">
        <v>491</v>
      </c>
      <c r="E21" s="23" t="s">
        <v>574</v>
      </c>
      <c r="F21" s="24" t="n">
        <v>0.12</v>
      </c>
      <c r="G21" s="24" t="n">
        <v>0.92</v>
      </c>
      <c r="H21" s="24" t="n">
        <v>1.12</v>
      </c>
      <c r="I21" s="24" t="n">
        <v>-1</v>
      </c>
    </row>
    <row r="22" customFormat="false" ht="28.35" hidden="false" customHeight="false" outlineLevel="0" collapsed="false">
      <c r="A22" s="23" t="s">
        <v>494</v>
      </c>
      <c r="B22" s="24" t="n">
        <v>1</v>
      </c>
      <c r="C22" s="23" t="s">
        <v>575</v>
      </c>
      <c r="D22" s="23" t="s">
        <v>486</v>
      </c>
      <c r="E22" s="23" t="s">
        <v>576</v>
      </c>
      <c r="F22" s="24" t="n">
        <v>0.24</v>
      </c>
      <c r="G22" s="24" t="n">
        <v>1.18</v>
      </c>
      <c r="H22" s="24" t="n">
        <v>0.86</v>
      </c>
      <c r="I22" s="24" t="n">
        <v>1</v>
      </c>
    </row>
    <row r="23" customFormat="false" ht="28.35" hidden="false" customHeight="false" outlineLevel="0" collapsed="false">
      <c r="A23" s="23" t="s">
        <v>494</v>
      </c>
      <c r="B23" s="24" t="n">
        <v>2</v>
      </c>
      <c r="C23" s="23" t="s">
        <v>577</v>
      </c>
      <c r="D23" s="23" t="s">
        <v>487</v>
      </c>
      <c r="E23" s="23" t="s">
        <v>578</v>
      </c>
      <c r="F23" s="24" t="n">
        <v>0.22</v>
      </c>
      <c r="G23" s="24" t="n">
        <v>0.96</v>
      </c>
      <c r="H23" s="24" t="n">
        <v>1.08</v>
      </c>
      <c r="I23" s="24" t="n">
        <v>1</v>
      </c>
    </row>
    <row r="24" customFormat="false" ht="28.35" hidden="false" customHeight="false" outlineLevel="0" collapsed="false">
      <c r="A24" s="23" t="s">
        <v>494</v>
      </c>
      <c r="B24" s="24" t="n">
        <v>3</v>
      </c>
      <c r="C24" s="23" t="s">
        <v>579</v>
      </c>
      <c r="D24" s="23" t="s">
        <v>489</v>
      </c>
      <c r="E24" s="23" t="s">
        <v>580</v>
      </c>
      <c r="F24" s="24" t="n">
        <v>0.15</v>
      </c>
      <c r="G24" s="24" t="n">
        <v>1.12</v>
      </c>
      <c r="H24" s="24" t="n">
        <v>0.92</v>
      </c>
      <c r="I24" s="24" t="n">
        <v>1</v>
      </c>
    </row>
    <row r="25" customFormat="false" ht="28.35" hidden="false" customHeight="false" outlineLevel="0" collapsed="false">
      <c r="A25" s="23" t="s">
        <v>494</v>
      </c>
      <c r="B25" s="24" t="n">
        <v>4</v>
      </c>
      <c r="C25" s="23" t="s">
        <v>581</v>
      </c>
      <c r="D25" s="23" t="s">
        <v>488</v>
      </c>
      <c r="E25" s="23" t="s">
        <v>582</v>
      </c>
      <c r="F25" s="24" t="n">
        <v>0.15</v>
      </c>
      <c r="G25" s="24" t="n">
        <v>0.82</v>
      </c>
      <c r="H25" s="24" t="n">
        <v>1.16</v>
      </c>
      <c r="I25" s="24" t="n">
        <v>1</v>
      </c>
    </row>
    <row r="26" customFormat="false" ht="28.35" hidden="false" customHeight="false" outlineLevel="0" collapsed="false">
      <c r="A26" s="23" t="s">
        <v>494</v>
      </c>
      <c r="B26" s="24" t="n">
        <v>5</v>
      </c>
      <c r="C26" s="23" t="s">
        <v>583</v>
      </c>
      <c r="D26" s="23" t="s">
        <v>490</v>
      </c>
      <c r="E26" s="23" t="s">
        <v>584</v>
      </c>
      <c r="F26" s="24" t="n">
        <v>0.12</v>
      </c>
      <c r="G26" s="24" t="n">
        <v>0.88</v>
      </c>
      <c r="H26" s="24" t="n">
        <v>1.06</v>
      </c>
      <c r="I26" s="24" t="n">
        <v>1</v>
      </c>
    </row>
    <row r="27" customFormat="false" ht="28.35" hidden="false" customHeight="false" outlineLevel="0" collapsed="false">
      <c r="A27" s="23" t="s">
        <v>494</v>
      </c>
      <c r="B27" s="24" t="n">
        <v>6</v>
      </c>
      <c r="C27" s="23" t="s">
        <v>491</v>
      </c>
      <c r="D27" s="23" t="s">
        <v>491</v>
      </c>
      <c r="E27" s="23" t="s">
        <v>585</v>
      </c>
      <c r="F27" s="24" t="n">
        <v>0.12</v>
      </c>
      <c r="G27" s="24" t="n">
        <v>0.92</v>
      </c>
      <c r="H27" s="24" t="n">
        <v>1.12</v>
      </c>
      <c r="I27" s="24" t="n">
        <v>-1</v>
      </c>
    </row>
    <row r="28" customFormat="false" ht="28.35" hidden="false" customHeight="false" outlineLevel="0" collapsed="false">
      <c r="A28" s="23" t="s">
        <v>496</v>
      </c>
      <c r="B28" s="24" t="n">
        <v>1</v>
      </c>
      <c r="C28" s="23" t="s">
        <v>586</v>
      </c>
      <c r="D28" s="23" t="s">
        <v>486</v>
      </c>
      <c r="E28" s="23" t="s">
        <v>587</v>
      </c>
      <c r="F28" s="24" t="n">
        <v>0.14</v>
      </c>
      <c r="G28" s="24" t="n">
        <v>1.08</v>
      </c>
      <c r="H28" s="24" t="n">
        <v>0.92</v>
      </c>
      <c r="I28" s="24" t="n">
        <v>1</v>
      </c>
    </row>
    <row r="29" customFormat="false" ht="14.9" hidden="false" customHeight="false" outlineLevel="0" collapsed="false">
      <c r="A29" s="23" t="s">
        <v>496</v>
      </c>
      <c r="B29" s="24" t="n">
        <v>2</v>
      </c>
      <c r="C29" s="23" t="s">
        <v>588</v>
      </c>
      <c r="D29" s="23" t="s">
        <v>487</v>
      </c>
      <c r="E29" s="23" t="s">
        <v>589</v>
      </c>
      <c r="F29" s="24" t="n">
        <v>0.3</v>
      </c>
      <c r="G29" s="24" t="n">
        <v>1</v>
      </c>
      <c r="H29" s="24" t="n">
        <v>1.08</v>
      </c>
      <c r="I29" s="24" t="n">
        <v>1</v>
      </c>
    </row>
    <row r="30" customFormat="false" ht="28.35" hidden="false" customHeight="false" outlineLevel="0" collapsed="false">
      <c r="A30" s="23" t="s">
        <v>496</v>
      </c>
      <c r="B30" s="24" t="n">
        <v>3</v>
      </c>
      <c r="C30" s="23" t="s">
        <v>590</v>
      </c>
      <c r="D30" s="23" t="s">
        <v>490</v>
      </c>
      <c r="E30" s="23" t="s">
        <v>591</v>
      </c>
      <c r="F30" s="24" t="n">
        <v>0.12</v>
      </c>
      <c r="G30" s="24" t="n">
        <v>0.86</v>
      </c>
      <c r="H30" s="24" t="n">
        <v>1.04</v>
      </c>
      <c r="I30" s="24" t="n">
        <v>1</v>
      </c>
    </row>
    <row r="31" customFormat="false" ht="14.9" hidden="false" customHeight="false" outlineLevel="0" collapsed="false">
      <c r="A31" s="23" t="s">
        <v>496</v>
      </c>
      <c r="B31" s="24" t="n">
        <v>4</v>
      </c>
      <c r="C31" s="23" t="s">
        <v>592</v>
      </c>
      <c r="D31" s="23" t="s">
        <v>488</v>
      </c>
      <c r="E31" s="23" t="s">
        <v>593</v>
      </c>
      <c r="F31" s="24" t="n">
        <v>0.18</v>
      </c>
      <c r="G31" s="24" t="n">
        <v>0.82</v>
      </c>
      <c r="H31" s="24" t="n">
        <v>1.2</v>
      </c>
      <c r="I31" s="24" t="n">
        <v>1</v>
      </c>
    </row>
    <row r="32" customFormat="false" ht="28.35" hidden="false" customHeight="false" outlineLevel="0" collapsed="false">
      <c r="A32" s="23" t="s">
        <v>496</v>
      </c>
      <c r="B32" s="24" t="n">
        <v>5</v>
      </c>
      <c r="C32" s="23" t="s">
        <v>551</v>
      </c>
      <c r="D32" s="23" t="s">
        <v>489</v>
      </c>
      <c r="E32" s="23" t="s">
        <v>594</v>
      </c>
      <c r="F32" s="24" t="n">
        <v>0.12</v>
      </c>
      <c r="G32" s="24" t="n">
        <v>1.08</v>
      </c>
      <c r="H32" s="24" t="n">
        <v>0.94</v>
      </c>
      <c r="I32" s="24" t="n">
        <v>1</v>
      </c>
    </row>
    <row r="33" customFormat="false" ht="14.9" hidden="false" customHeight="false" outlineLevel="0" collapsed="false">
      <c r="A33" s="23" t="s">
        <v>496</v>
      </c>
      <c r="B33" s="24" t="n">
        <v>6</v>
      </c>
      <c r="C33" s="23" t="s">
        <v>491</v>
      </c>
      <c r="D33" s="23" t="s">
        <v>491</v>
      </c>
      <c r="E33" s="23" t="s">
        <v>595</v>
      </c>
      <c r="F33" s="24" t="n">
        <v>0.14</v>
      </c>
      <c r="G33" s="24" t="n">
        <v>0.94</v>
      </c>
      <c r="H33" s="24" t="n">
        <v>1.12</v>
      </c>
      <c r="I33" s="24" t="n">
        <v>-1</v>
      </c>
    </row>
    <row r="34" customFormat="false" ht="14.9" hidden="false" customHeight="false" outlineLevel="0" collapsed="false">
      <c r="A34" s="23" t="s">
        <v>498</v>
      </c>
      <c r="B34" s="24" t="n">
        <v>1</v>
      </c>
      <c r="C34" s="23" t="s">
        <v>596</v>
      </c>
      <c r="D34" s="23" t="s">
        <v>486</v>
      </c>
      <c r="E34" s="23" t="s">
        <v>597</v>
      </c>
      <c r="F34" s="24" t="n">
        <v>0.14</v>
      </c>
      <c r="G34" s="24" t="n">
        <v>1.05</v>
      </c>
      <c r="H34" s="24" t="n">
        <v>0.94</v>
      </c>
      <c r="I34" s="24" t="n">
        <v>1</v>
      </c>
    </row>
    <row r="35" customFormat="false" ht="14.9" hidden="false" customHeight="false" outlineLevel="0" collapsed="false">
      <c r="A35" s="23" t="s">
        <v>498</v>
      </c>
      <c r="B35" s="24" t="n">
        <v>2</v>
      </c>
      <c r="C35" s="23" t="s">
        <v>598</v>
      </c>
      <c r="D35" s="23" t="s">
        <v>487</v>
      </c>
      <c r="E35" s="23" t="s">
        <v>599</v>
      </c>
      <c r="F35" s="24" t="n">
        <v>0.24</v>
      </c>
      <c r="G35" s="24" t="n">
        <v>0.98</v>
      </c>
      <c r="H35" s="24" t="n">
        <v>1.08</v>
      </c>
      <c r="I35" s="24" t="n">
        <v>1</v>
      </c>
    </row>
    <row r="36" customFormat="false" ht="28.35" hidden="false" customHeight="false" outlineLevel="0" collapsed="false">
      <c r="A36" s="23" t="s">
        <v>498</v>
      </c>
      <c r="B36" s="24" t="n">
        <v>3</v>
      </c>
      <c r="C36" s="23" t="s">
        <v>600</v>
      </c>
      <c r="D36" s="23" t="s">
        <v>490</v>
      </c>
      <c r="E36" s="23" t="s">
        <v>601</v>
      </c>
      <c r="F36" s="24" t="n">
        <v>0.16</v>
      </c>
      <c r="G36" s="24" t="n">
        <v>0.84</v>
      </c>
      <c r="H36" s="24" t="n">
        <v>1.06</v>
      </c>
      <c r="I36" s="24" t="n">
        <v>1</v>
      </c>
    </row>
    <row r="37" customFormat="false" ht="28.35" hidden="false" customHeight="false" outlineLevel="0" collapsed="false">
      <c r="A37" s="23" t="s">
        <v>498</v>
      </c>
      <c r="B37" s="24" t="n">
        <v>4</v>
      </c>
      <c r="C37" s="23" t="s">
        <v>602</v>
      </c>
      <c r="D37" s="23" t="s">
        <v>488</v>
      </c>
      <c r="E37" s="23" t="s">
        <v>603</v>
      </c>
      <c r="F37" s="24" t="n">
        <v>0.22</v>
      </c>
      <c r="G37" s="24" t="n">
        <v>0.8</v>
      </c>
      <c r="H37" s="24" t="n">
        <v>1.22</v>
      </c>
      <c r="I37" s="24" t="n">
        <v>1</v>
      </c>
    </row>
    <row r="38" customFormat="false" ht="28.35" hidden="false" customHeight="false" outlineLevel="0" collapsed="false">
      <c r="A38" s="23" t="s">
        <v>498</v>
      </c>
      <c r="B38" s="24" t="n">
        <v>5</v>
      </c>
      <c r="C38" s="23" t="s">
        <v>604</v>
      </c>
      <c r="D38" s="23" t="s">
        <v>490</v>
      </c>
      <c r="E38" s="23" t="s">
        <v>605</v>
      </c>
      <c r="F38" s="24" t="n">
        <v>0.12</v>
      </c>
      <c r="G38" s="24" t="n">
        <v>0.86</v>
      </c>
      <c r="H38" s="24" t="n">
        <v>1.06</v>
      </c>
      <c r="I38" s="24" t="n">
        <v>1</v>
      </c>
    </row>
    <row r="39" customFormat="false" ht="14.9" hidden="false" customHeight="false" outlineLevel="0" collapsed="false">
      <c r="A39" s="23" t="s">
        <v>498</v>
      </c>
      <c r="B39" s="24" t="n">
        <v>6</v>
      </c>
      <c r="C39" s="23" t="s">
        <v>491</v>
      </c>
      <c r="D39" s="23" t="s">
        <v>491</v>
      </c>
      <c r="E39" s="23" t="s">
        <v>606</v>
      </c>
      <c r="F39" s="24" t="n">
        <v>0.12</v>
      </c>
      <c r="G39" s="24" t="n">
        <v>0.92</v>
      </c>
      <c r="H39" s="24" t="n">
        <v>1.1</v>
      </c>
      <c r="I39" s="24" t="n">
        <v>-1</v>
      </c>
    </row>
    <row r="40" customFormat="false" ht="28.35" hidden="false" customHeight="false" outlineLevel="0" collapsed="false">
      <c r="A40" s="23" t="s">
        <v>500</v>
      </c>
      <c r="B40" s="24" t="n">
        <v>1</v>
      </c>
      <c r="C40" s="23" t="s">
        <v>607</v>
      </c>
      <c r="D40" s="23" t="s">
        <v>486</v>
      </c>
      <c r="E40" s="23" t="s">
        <v>608</v>
      </c>
      <c r="F40" s="24" t="n">
        <v>0.18</v>
      </c>
      <c r="G40" s="24" t="n">
        <v>1.12</v>
      </c>
      <c r="H40" s="24" t="n">
        <v>0.9</v>
      </c>
      <c r="I40" s="24" t="n">
        <v>1</v>
      </c>
    </row>
    <row r="41" customFormat="false" ht="28.35" hidden="false" customHeight="false" outlineLevel="0" collapsed="false">
      <c r="A41" s="23" t="s">
        <v>500</v>
      </c>
      <c r="B41" s="24" t="n">
        <v>2</v>
      </c>
      <c r="C41" s="23" t="s">
        <v>609</v>
      </c>
      <c r="D41" s="23" t="s">
        <v>487</v>
      </c>
      <c r="E41" s="23" t="s">
        <v>610</v>
      </c>
      <c r="F41" s="24" t="n">
        <v>0.2</v>
      </c>
      <c r="G41" s="24" t="n">
        <v>0.96</v>
      </c>
      <c r="H41" s="24" t="n">
        <v>1.08</v>
      </c>
      <c r="I41" s="24" t="n">
        <v>1</v>
      </c>
    </row>
    <row r="42" customFormat="false" ht="28.35" hidden="false" customHeight="false" outlineLevel="0" collapsed="false">
      <c r="A42" s="23" t="s">
        <v>500</v>
      </c>
      <c r="B42" s="24" t="n">
        <v>3</v>
      </c>
      <c r="C42" s="23" t="s">
        <v>551</v>
      </c>
      <c r="D42" s="23" t="s">
        <v>489</v>
      </c>
      <c r="E42" s="23" t="s">
        <v>611</v>
      </c>
      <c r="F42" s="24" t="n">
        <v>0.22</v>
      </c>
      <c r="G42" s="24" t="n">
        <v>1.22</v>
      </c>
      <c r="H42" s="24" t="n">
        <v>0.88</v>
      </c>
      <c r="I42" s="24" t="n">
        <v>1</v>
      </c>
    </row>
    <row r="43" customFormat="false" ht="28.35" hidden="false" customHeight="false" outlineLevel="0" collapsed="false">
      <c r="A43" s="23" t="s">
        <v>500</v>
      </c>
      <c r="B43" s="24" t="n">
        <v>4</v>
      </c>
      <c r="C43" s="23" t="s">
        <v>488</v>
      </c>
      <c r="D43" s="23" t="s">
        <v>488</v>
      </c>
      <c r="E43" s="23" t="s">
        <v>612</v>
      </c>
      <c r="F43" s="24" t="n">
        <v>0.14</v>
      </c>
      <c r="G43" s="24" t="n">
        <v>0.82</v>
      </c>
      <c r="H43" s="24" t="n">
        <v>1.16</v>
      </c>
      <c r="I43" s="24" t="n">
        <v>1</v>
      </c>
    </row>
    <row r="44" customFormat="false" ht="28.35" hidden="false" customHeight="false" outlineLevel="0" collapsed="false">
      <c r="A44" s="23" t="s">
        <v>500</v>
      </c>
      <c r="B44" s="24" t="n">
        <v>5</v>
      </c>
      <c r="C44" s="23" t="s">
        <v>613</v>
      </c>
      <c r="D44" s="23" t="s">
        <v>490</v>
      </c>
      <c r="E44" s="23" t="s">
        <v>614</v>
      </c>
      <c r="F44" s="24" t="n">
        <v>0.14</v>
      </c>
      <c r="G44" s="24" t="n">
        <v>0.86</v>
      </c>
      <c r="H44" s="24" t="n">
        <v>1.05</v>
      </c>
      <c r="I44" s="24" t="n">
        <v>1</v>
      </c>
    </row>
    <row r="45" customFormat="false" ht="28.35" hidden="false" customHeight="false" outlineLevel="0" collapsed="false">
      <c r="A45" s="23" t="s">
        <v>500</v>
      </c>
      <c r="B45" s="24" t="n">
        <v>6</v>
      </c>
      <c r="C45" s="23" t="s">
        <v>491</v>
      </c>
      <c r="D45" s="23" t="s">
        <v>491</v>
      </c>
      <c r="E45" s="23" t="s">
        <v>615</v>
      </c>
      <c r="F45" s="24" t="n">
        <v>0.12</v>
      </c>
      <c r="G45" s="24" t="n">
        <v>0.9</v>
      </c>
      <c r="H45" s="24" t="n">
        <v>1.1</v>
      </c>
      <c r="I45" s="24" t="n">
        <v>-1</v>
      </c>
    </row>
    <row r="46" customFormat="false" ht="13.8" hidden="false" customHeight="false" outlineLevel="0" collapsed="false"/>
    <row r="47" customFormat="false" ht="243.25" hidden="false" customHeight="false" outlineLevel="0" collapsed="false">
      <c r="A47" s="25" t="s">
        <v>616</v>
      </c>
      <c r="B47" s="23" t="s">
        <v>617</v>
      </c>
    </row>
    <row r="48" customFormat="false" ht="176.1" hidden="false" customHeight="false" outlineLevel="0" collapsed="false">
      <c r="A48" s="25" t="s">
        <v>618</v>
      </c>
      <c r="B48" s="23" t="s">
        <v>619</v>
      </c>
    </row>
  </sheetData>
  <autoFilter ref="A3:I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0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7" min="6" style="1" width="14"/>
    <col collapsed="false" customWidth="true" hidden="false" outlineLevel="0" max="9" min="8" style="1" width="16"/>
    <col collapsed="false" customWidth="true" hidden="false" outlineLevel="0" max="11" min="10" style="1" width="14"/>
    <col collapsed="false" customWidth="true" hidden="false" outlineLevel="0" max="21" min="12" style="1" width="18"/>
  </cols>
  <sheetData>
    <row r="1" customFormat="false" ht="17.25" hidden="false" customHeight="true" outlineLevel="0" collapsed="false">
      <c r="A1" s="15" t="s">
        <v>620</v>
      </c>
    </row>
    <row r="3" customFormat="false" ht="27.75" hidden="false" customHeight="true" outlineLevel="0" collapsed="false">
      <c r="A3" s="16" t="s">
        <v>0</v>
      </c>
      <c r="B3" s="16" t="s">
        <v>36</v>
      </c>
      <c r="C3" s="16" t="s">
        <v>37</v>
      </c>
      <c r="D3" s="16" t="s">
        <v>621</v>
      </c>
      <c r="E3" s="16" t="s">
        <v>622</v>
      </c>
      <c r="F3" s="16" t="s">
        <v>393</v>
      </c>
      <c r="G3" s="21" t="str">
        <f aca="false">Actors!A4</f>
        <v>Academic KOLs</v>
      </c>
      <c r="H3" s="21" t="str">
        <f aca="false">Actors!A5</f>
        <v>Community Physicians</v>
      </c>
      <c r="I3" s="21" t="str">
        <f aca="false">Actors!A6</f>
        <v>Specialty Extenders / PCPs</v>
      </c>
      <c r="J3" s="21" t="str">
        <f aca="false">Actors!A7</f>
        <v>Payers / Access</v>
      </c>
      <c r="K3" s="21" t="str">
        <f aca="false">Actors!A8</f>
        <v>Guideline / Society Bodies</v>
      </c>
      <c r="L3" s="21" t="str">
        <f aca="false">Actors!A9</f>
        <v>Competitor Counteraction</v>
      </c>
      <c r="M3" s="16" t="s">
        <v>623</v>
      </c>
      <c r="N3" s="16" t="s">
        <v>2</v>
      </c>
      <c r="O3" s="16" t="s">
        <v>395</v>
      </c>
      <c r="P3" s="16" t="s">
        <v>624</v>
      </c>
      <c r="Q3" s="16" t="s">
        <v>625</v>
      </c>
      <c r="R3" s="16" t="s">
        <v>626</v>
      </c>
      <c r="S3" s="16" t="s">
        <v>627</v>
      </c>
      <c r="T3" s="16" t="s">
        <v>628</v>
      </c>
      <c r="U3" s="16" t="s">
        <v>629</v>
      </c>
    </row>
    <row r="4" customFormat="false" ht="27.75" hidden="false" customHeight="true" outlineLevel="0" collapsed="false">
      <c r="A4" s="17" t="str">
        <f aca="false">SignalRegister!A4</f>
        <v>CS-001</v>
      </c>
      <c r="B4" s="17" t="str">
        <f aca="false">SignalRegister!D4</f>
        <v>A new publication appears to strengthen the bridge between microbiology and function.</v>
      </c>
      <c r="C4" s="17" t="str">
        <f aca="false">SignalRegister!F4</f>
        <v>Positive</v>
      </c>
      <c r="D4" s="17" t="n">
        <f aca="false">SignalRegister!G4</f>
        <v>4</v>
      </c>
      <c r="E4" s="17" t="n">
        <f aca="false">SignalRegister!H4</f>
        <v>5</v>
      </c>
      <c r="F4" s="17" t="n">
        <f aca="false">SignalRegister!I4</f>
        <v>1.32</v>
      </c>
      <c r="G4" s="20" t="n">
        <f aca="false">IF($A4="","",IF($C4="Positive",1,-1)*((N($D4)+N($E4))/(2*5))*IF($C4="Positive",Actors!$C$4,Actors!$D$4)*Actors!$E$4*$P4)</f>
        <v>1.3662</v>
      </c>
      <c r="H4" s="20" t="n">
        <f aca="false">IF($A4="","",IF($C4="Positive",1,-1)*((N($D4)+N($E4))/(2*5))*IF($C4="Positive",Actors!$C$5,Actors!$D$5)*Actors!$E$5*$Q4)</f>
        <v>0.8528625</v>
      </c>
      <c r="I4" s="20" t="n">
        <f aca="false">IF($A4="","",IF($C4="Positive",1,-1)*((N($D4)+N($E4))/(2*5))*IF($C4="Positive",Actors!$C$6,Actors!$D$6)*Actors!$E$6*$R4)</f>
        <v>0.6904125</v>
      </c>
      <c r="J4" s="20" t="n">
        <f aca="false">IF($A4="","",IF($C4="Positive",1,-1)*((N($D4)+N($E4))/(2*5))*IF($C4="Positive",Actors!$C$7,Actors!$D$7)*Actors!$E$7*$S4)</f>
        <v>0.8316</v>
      </c>
      <c r="K4" s="20" t="n">
        <f aca="false">IF($A4="","",IF($C4="Positive",1,-1)*((N($D4)+N($E4))/(2*5))*IF($C4="Positive",Actors!$C$8,Actors!$D$8)*Actors!$E$8*$T4)</f>
        <v>1.06875</v>
      </c>
      <c r="L4" s="20" t="n">
        <f aca="false">IF($A4="","",IF($C4="Positive",1,-1)*((N($D4)+N($E4))/(2*5))*IF($C4="Positive",Actors!$C$9,Actors!$D$9)*Actors!$E$9*$U4)</f>
        <v>-0.69255</v>
      </c>
      <c r="M4" s="20" t="n">
        <f aca="false">IF(A4="","",G4*Actors!$B$4+H4*Actors!$B$5+I4*Actors!$B$6+J4*Actors!$B$7+K4*Actors!$B$8+L4*Actors!$B$9)</f>
        <v>0.748083753637245</v>
      </c>
      <c r="N4" s="17" t="str">
        <f aca="false">SignalRegister!E4</f>
        <v>Clinical evidence</v>
      </c>
      <c r="O4" s="17" t="str">
        <f aca="false">SignalRegister!K4</f>
        <v>Pulmonology / NTM-focused</v>
      </c>
      <c r="P4" s="20" t="n">
        <f aca="false">IF($A4="","",MIN(1.6,IFERROR(INDEX(PharmaLogic!$K$4:$K$15,MATCH($N4,PharmaLogic!$J$4:$J$15,0)),1)*(1+SUMPRODUCT(--ISNUMBER(SEARCH(PharmaLogic!$J$20:$J$41,LOWER($O4&amp;" "&amp;$B4))),PharmaLogic!$K$20:$K$41-1))))</f>
        <v>1.32</v>
      </c>
      <c r="Q4" s="20" t="n">
        <f aca="false">IF($A4="","",MIN(1.6,IFERROR(INDEX(PharmaLogic!$L$4:$L$15,MATCH($N4,PharmaLogic!$J$4:$J$15,0)),1)*(1+SUMPRODUCT(--ISNUMBER(SEARCH(PharmaLogic!$J$20:$J$41,LOWER($O4&amp;" "&amp;$B4))),PharmaLogic!$L$20:$L$41-1))))</f>
        <v>1.05</v>
      </c>
      <c r="R4" s="20" t="n">
        <f aca="false">IF($A4="","",MIN(1.6,IFERROR(INDEX(PharmaLogic!$M$4:$M$15,MATCH($N4,PharmaLogic!$J$4:$J$15,0)),1)*(1+SUMPRODUCT(--ISNUMBER(SEARCH(PharmaLogic!$J$20:$J$41,LOWER($O4&amp;" "&amp;$B4))),PharmaLogic!$M$20:$M$41-1))))</f>
        <v>0.9025</v>
      </c>
      <c r="S4" s="20" t="n">
        <f aca="false">IF($A4="","",MIN(1.6,IFERROR(INDEX(PharmaLogic!$N$4:$N$15,MATCH($N4,PharmaLogic!$J$4:$J$15,0)),1)*(1+SUMPRODUCT(--ISNUMBER(SEARCH(PharmaLogic!$J$20:$J$41,LOWER($O4&amp;" "&amp;$B4))),PharmaLogic!$N$20:$N$41-1))))</f>
        <v>1.155</v>
      </c>
      <c r="T4" s="20" t="n">
        <f aca="false">IF($A4="","",MIN(1.6,IFERROR(INDEX(PharmaLogic!$O$4:$O$15,MATCH($N4,PharmaLogic!$J$4:$J$15,0)),1)*(1+SUMPRODUCT(--ISNUMBER(SEARCH(PharmaLogic!$J$20:$J$41,LOWER($O4&amp;" "&amp;$B4))),PharmaLogic!$O$20:$O$41-1))))</f>
        <v>0.95</v>
      </c>
      <c r="U4" s="20" t="n">
        <f aca="false">IF($A4="","",MIN(1.6,IFERROR(INDEX(PharmaLogic!$P$4:$P$15,MATCH($N4,PharmaLogic!$J$4:$J$15,0)),1)*(1+SUMPRODUCT(--ISNUMBER(SEARCH(PharmaLogic!$J$20:$J$41,LOWER($O4&amp;" "&amp;$B4))),PharmaLogic!$P$20:$P$41-1))))</f>
        <v>0.855</v>
      </c>
    </row>
    <row r="5" customFormat="false" ht="27.75" hidden="false" customHeight="true" outlineLevel="0" collapsed="false">
      <c r="A5" s="17" t="str">
        <f aca="false">SignalRegister!A5</f>
        <v>CS-002</v>
      </c>
      <c r="B5" s="17" t="str">
        <f aca="false">SignalRegister!D5</f>
        <v>Multiple accounts continue to ask for a simpler identification and referral story.</v>
      </c>
      <c r="C5" s="17" t="str">
        <f aca="false">SignalRegister!F5</f>
        <v>Negative</v>
      </c>
      <c r="D5" s="17" t="n">
        <f aca="false">SignalRegister!G5</f>
        <v>4</v>
      </c>
      <c r="E5" s="17" t="n">
        <f aca="false">SignalRegister!H5</f>
        <v>4</v>
      </c>
      <c r="F5" s="17" t="n">
        <f aca="false">SignalRegister!I5</f>
        <v>0.68</v>
      </c>
      <c r="G5" s="20" t="n">
        <f aca="false">IF($A5="","",IF($C5="Positive",1,-1)*((N($D5)+N($E5))/(2*5))*IF($C5="Positive",Actors!$C$4,Actors!$D$4)*Actors!$E$4*$P5)</f>
        <v>-0.70224</v>
      </c>
      <c r="H5" s="20" t="n">
        <f aca="false">IF($A5="","",IF($C5="Positive",1,-1)*((N($D5)+N($E5))/(2*5))*IF($C5="Positive",Actors!$C$5,Actors!$D$5)*Actors!$E$5*$Q5)</f>
        <v>-1.3662</v>
      </c>
      <c r="I5" s="20" t="n">
        <f aca="false">IF($A5="","",IF($C5="Positive",1,-1)*((N($D5)+N($E5))/(2*5))*IF($C5="Positive",Actors!$C$6,Actors!$D$6)*Actors!$E$6*$R5)</f>
        <v>-0.798</v>
      </c>
      <c r="J5" s="20" t="n">
        <f aca="false">IF($A5="","",IF($C5="Positive",1,-1)*((N($D5)+N($E5))/(2*5))*IF($C5="Positive",Actors!$C$7,Actors!$D$7)*Actors!$E$7*$S5)</f>
        <v>-0.864</v>
      </c>
      <c r="K5" s="20" t="n">
        <f aca="false">IF($A5="","",IF($C5="Positive",1,-1)*((N($D5)+N($E5))/(2*5))*IF($C5="Positive",Actors!$C$8,Actors!$D$8)*Actors!$E$8*$T5)</f>
        <v>-0.72</v>
      </c>
      <c r="L5" s="20" t="n">
        <f aca="false">IF($A5="","",IF($C5="Positive",1,-1)*((N($D5)+N($E5))/(2*5))*IF($C5="Positive",Actors!$C$9,Actors!$D$9)*Actors!$E$9*$U5)</f>
        <v>0.8512</v>
      </c>
      <c r="M5" s="20" t="n">
        <f aca="false">IF(A5="","",G5*Actors!$B$4+H5*Actors!$B$5+I5*Actors!$B$6+J5*Actors!$B$7+K5*Actors!$B$8+L5*Actors!$B$9)</f>
        <v>-0.675312512124151</v>
      </c>
      <c r="N5" s="17" t="str">
        <f aca="false">SignalRegister!E5</f>
        <v>Field intelligence</v>
      </c>
      <c r="O5" s="17" t="str">
        <f aca="false">SignalRegister!K5</f>
        <v>Pulmonology / community</v>
      </c>
      <c r="P5" s="20" t="n">
        <f aca="false">IF($A5="","",MIN(1.6,IFERROR(INDEX(PharmaLogic!$K$4:$K$15,MATCH($N5,PharmaLogic!$J$4:$J$15,0)),1)*(1+SUMPRODUCT(--ISNUMBER(SEARCH(PharmaLogic!$J$20:$J$41,LOWER($O5&amp;" "&amp;$B5))),PharmaLogic!$K$20:$K$41-1))))</f>
        <v>0.9975</v>
      </c>
      <c r="Q5" s="20" t="n">
        <f aca="false">IF($A5="","",MIN(1.6,IFERROR(INDEX(PharmaLogic!$L$4:$L$15,MATCH($N5,PharmaLogic!$J$4:$J$15,0)),1)*(1+SUMPRODUCT(--ISNUMBER(SEARCH(PharmaLogic!$J$20:$J$41,LOWER($O5&amp;" "&amp;$B5))),PharmaLogic!$L$20:$L$41-1))))</f>
        <v>1.4375</v>
      </c>
      <c r="R5" s="20" t="n">
        <f aca="false">IF($A5="","",MIN(1.6,IFERROR(INDEX(PharmaLogic!$M$4:$M$15,MATCH($N5,PharmaLogic!$J$4:$J$15,0)),1)*(1+SUMPRODUCT(--ISNUMBER(SEARCH(PharmaLogic!$J$20:$J$41,LOWER($O5&amp;" "&amp;$B5))),PharmaLogic!$M$20:$M$41-1))))</f>
        <v>0.95</v>
      </c>
      <c r="S5" s="20" t="n">
        <f aca="false">IF($A5="","",MIN(1.6,IFERROR(INDEX(PharmaLogic!$N$4:$N$15,MATCH($N5,PharmaLogic!$J$4:$J$15,0)),1)*(1+SUMPRODUCT(--ISNUMBER(SEARCH(PharmaLogic!$J$20:$J$41,LOWER($O5&amp;" "&amp;$B5))),PharmaLogic!$N$20:$N$41-1))))</f>
        <v>0.9</v>
      </c>
      <c r="T5" s="20" t="n">
        <f aca="false">IF($A5="","",MIN(1.6,IFERROR(INDEX(PharmaLogic!$O$4:$O$15,MATCH($N5,PharmaLogic!$J$4:$J$15,0)),1)*(1+SUMPRODUCT(--ISNUMBER(SEARCH(PharmaLogic!$J$20:$J$41,LOWER($O5&amp;" "&amp;$B5))),PharmaLogic!$O$20:$O$41-1))))</f>
        <v>1</v>
      </c>
      <c r="U5" s="20" t="n">
        <f aca="false">IF($A5="","",MIN(1.6,IFERROR(INDEX(PharmaLogic!$P$4:$P$15,MATCH($N5,PharmaLogic!$J$4:$J$15,0)),1)*(1+SUMPRODUCT(--ISNUMBER(SEARCH(PharmaLogic!$J$20:$J$41,LOWER($O5&amp;" "&amp;$B5))),PharmaLogic!$P$20:$P$41-1))))</f>
        <v>0.95</v>
      </c>
    </row>
    <row r="6" customFormat="false" ht="27.75" hidden="false" customHeight="true" outlineLevel="0" collapsed="false">
      <c r="A6" s="17" t="str">
        <f aca="false">SignalRegister!A6</f>
        <v>CS-003</v>
      </c>
      <c r="B6" s="17" t="str">
        <f aca="false">SignalRegister!D6</f>
        <v>Emerging coverage shift could reduce reimbursement obstacles in target accounts.</v>
      </c>
      <c r="C6" s="17" t="str">
        <f aca="false">SignalRegister!F6</f>
        <v>Positive</v>
      </c>
      <c r="D6" s="17" t="n">
        <f aca="false">SignalRegister!G6</f>
        <v>5</v>
      </c>
      <c r="E6" s="17" t="n">
        <f aca="false">SignalRegister!H6</f>
        <v>4</v>
      </c>
      <c r="F6" s="17" t="n">
        <f aca="false">SignalRegister!I6</f>
        <v>1.4</v>
      </c>
      <c r="G6" s="20" t="n">
        <f aca="false">IF($A6="","",IF($C6="Positive",1,-1)*((N($D6)+N($E6))/(2*5))*IF($C6="Positive",Actors!$C$4,Actors!$D$4)*Actors!$E$4*$P6)</f>
        <v>1.02465</v>
      </c>
      <c r="H6" s="20" t="n">
        <f aca="false">IF($A6="","",IF($C6="Positive",1,-1)*((N($D6)+N($E6))/(2*5))*IF($C6="Positive",Actors!$C$5,Actors!$D$5)*Actors!$E$5*$Q6)</f>
        <v>0.810219375</v>
      </c>
      <c r="I6" s="20" t="n">
        <f aca="false">IF($A6="","",IF($C6="Positive",1,-1)*((N($D6)+N($E6))/(2*5))*IF($C6="Positive",Actors!$C$6,Actors!$D$6)*Actors!$E$6*$R6)</f>
        <v>0.9084375</v>
      </c>
      <c r="J6" s="20" t="n">
        <f aca="false">IF($A6="","",IF($C6="Positive",1,-1)*((N($D6)+N($E6))/(2*5))*IF($C6="Positive",Actors!$C$7,Actors!$D$7)*Actors!$E$7*$S6)</f>
        <v>0.7182</v>
      </c>
      <c r="K6" s="20" t="n">
        <f aca="false">IF($A6="","",IF($C6="Positive",1,-1)*((N($D6)+N($E6))/(2*5))*IF($C6="Positive",Actors!$C$8,Actors!$D$8)*Actors!$E$8*$T6)</f>
        <v>1.18125</v>
      </c>
      <c r="L6" s="20" t="n">
        <f aca="false">IF($A6="","",IF($C6="Positive",1,-1)*((N($D6)+N($E6))/(2*5))*IF($C6="Positive",Actors!$C$9,Actors!$D$9)*Actors!$E$9*$U6)</f>
        <v>-0.7695</v>
      </c>
      <c r="M6" s="20" t="n">
        <f aca="false">IF(A6="","",G6*Actors!$B$4+H6*Actors!$B$5+I6*Actors!$B$6+J6*Actors!$B$7+K6*Actors!$B$8+L6*Actors!$B$9)</f>
        <v>0.67820156886518</v>
      </c>
      <c r="N6" s="17" t="str">
        <f aca="false">SignalRegister!E6</f>
        <v>Access / commercial</v>
      </c>
      <c r="O6" s="17" t="str">
        <f aca="false">SignalRegister!K6</f>
        <v>Pulmonology / general</v>
      </c>
      <c r="P6" s="20" t="n">
        <f aca="false">IF($A6="","",MIN(1.6,IFERROR(INDEX(PharmaLogic!$K$4:$K$15,MATCH($N6,PharmaLogic!$J$4:$J$15,0)),1)*(1+SUMPRODUCT(--ISNUMBER(SEARCH(PharmaLogic!$J$20:$J$41,LOWER($O6&amp;" "&amp;$B6))),PharmaLogic!$K$20:$K$41-1))))</f>
        <v>0.99</v>
      </c>
      <c r="Q6" s="20" t="n">
        <f aca="false">IF($A6="","",MIN(1.6,IFERROR(INDEX(PharmaLogic!$L$4:$L$15,MATCH($N6,PharmaLogic!$J$4:$J$15,0)),1)*(1+SUMPRODUCT(--ISNUMBER(SEARCH(PharmaLogic!$J$20:$J$41,LOWER($O6&amp;" "&amp;$B6))),PharmaLogic!$L$20:$L$41-1))))</f>
        <v>0.9975</v>
      </c>
      <c r="R6" s="20" t="n">
        <f aca="false">IF($A6="","",MIN(1.6,IFERROR(INDEX(PharmaLogic!$M$4:$M$15,MATCH($N6,PharmaLogic!$J$4:$J$15,0)),1)*(1+SUMPRODUCT(--ISNUMBER(SEARCH(PharmaLogic!$J$20:$J$41,LOWER($O6&amp;" "&amp;$B6))),PharmaLogic!$M$20:$M$41-1))))</f>
        <v>1.1875</v>
      </c>
      <c r="S6" s="20" t="n">
        <f aca="false">IF($A6="","",MIN(1.6,IFERROR(INDEX(PharmaLogic!$N$4:$N$15,MATCH($N6,PharmaLogic!$J$4:$J$15,0)),1)*(1+SUMPRODUCT(--ISNUMBER(SEARCH(PharmaLogic!$J$20:$J$41,LOWER($O6&amp;" "&amp;$B6))),PharmaLogic!$N$20:$N$41-1))))</f>
        <v>0.9975</v>
      </c>
      <c r="T6" s="20" t="n">
        <f aca="false">IF($A6="","",MIN(1.6,IFERROR(INDEX(PharmaLogic!$O$4:$O$15,MATCH($N6,PharmaLogic!$J$4:$J$15,0)),1)*(1+SUMPRODUCT(--ISNUMBER(SEARCH(PharmaLogic!$J$20:$J$41,LOWER($O6&amp;" "&amp;$B6))),PharmaLogic!$O$20:$O$41-1))))</f>
        <v>1.05</v>
      </c>
      <c r="U6" s="20" t="n">
        <f aca="false">IF($A6="","",MIN(1.6,IFERROR(INDEX(PharmaLogic!$P$4:$P$15,MATCH($N6,PharmaLogic!$J$4:$J$15,0)),1)*(1+SUMPRODUCT(--ISNUMBER(SEARCH(PharmaLogic!$J$20:$J$41,LOWER($O6&amp;" "&amp;$B6))),PharmaLogic!$P$20:$P$41-1))))</f>
        <v>0.95</v>
      </c>
    </row>
    <row r="7" customFormat="false" ht="15" hidden="false" customHeight="true" outlineLevel="0" collapsed="false">
      <c r="A7" s="17" t="n">
        <f aca="false">SignalRegister!A7</f>
        <v>0</v>
      </c>
      <c r="B7" s="17" t="str">
        <f aca="false">SignalRegister!D7</f>
        <v/>
      </c>
      <c r="C7" s="17" t="str">
        <f aca="false">SignalRegister!F7</f>
        <v/>
      </c>
      <c r="D7" s="17" t="str">
        <f aca="false">SignalRegister!G7</f>
        <v/>
      </c>
      <c r="E7" s="17" t="str">
        <f aca="false">SignalRegister!H7</f>
        <v/>
      </c>
      <c r="F7" s="17" t="str">
        <f aca="false">SignalRegister!I7</f>
        <v/>
      </c>
      <c r="G7" s="20" t="n">
        <f aca="false">IF($A7="","",IF($C7="Positive",1,-1)*((N($D7)+N($E7))/(2*5))*IF($C7="Positive",Actors!$C$4,Actors!$D$4)*Actors!$E$4*$P7)</f>
        <v>-0</v>
      </c>
      <c r="H7" s="20" t="n">
        <f aca="false">IF($A7="","",IF($C7="Positive",1,-1)*((N($D7)+N($E7))/(2*5))*IF($C7="Positive",Actors!$C$5,Actors!$D$5)*Actors!$E$5*$Q7)</f>
        <v>-0</v>
      </c>
      <c r="I7" s="20" t="n">
        <f aca="false">IF($A7="","",IF($C7="Positive",1,-1)*((N($D7)+N($E7))/(2*5))*IF($C7="Positive",Actors!$C$6,Actors!$D$6)*Actors!$E$6*$R7)</f>
        <v>-0</v>
      </c>
      <c r="J7" s="20" t="n">
        <f aca="false">IF($A7="","",IF($C7="Positive",1,-1)*((N($D7)+N($E7))/(2*5))*IF($C7="Positive",Actors!$C$7,Actors!$D$7)*Actors!$E$7*$S7)</f>
        <v>-0</v>
      </c>
      <c r="K7" s="20" t="n">
        <f aca="false">IF($A7="","",IF($C7="Positive",1,-1)*((N($D7)+N($E7))/(2*5))*IF($C7="Positive",Actors!$C$8,Actors!$D$8)*Actors!$E$8*$T7)</f>
        <v>-0</v>
      </c>
      <c r="L7" s="20" t="n">
        <f aca="false">IF($A7="","",IF($C7="Positive",1,-1)*((N($D7)+N($E7))/(2*5))*IF($C7="Positive",Actors!$C$9,Actors!$D$9)*Actors!$E$9*$U7)</f>
        <v>0</v>
      </c>
      <c r="M7" s="20" t="n">
        <f aca="false">IF(A7="","",G7*Actors!$B$4+H7*Actors!$B$5+I7*Actors!$B$6+J7*Actors!$B$7+K7*Actors!$B$8+L7*Actors!$B$9)</f>
        <v>0</v>
      </c>
      <c r="N7" s="17" t="str">
        <f aca="false">SignalRegister!E7</f>
        <v/>
      </c>
      <c r="O7" s="17" t="str">
        <f aca="false">SignalRegister!K7</f>
        <v/>
      </c>
      <c r="P7" s="20" t="n">
        <f aca="false">IF($A7="","",MIN(1.6,IFERROR(INDEX(PharmaLogic!$K$4:$K$15,MATCH($N7,PharmaLogic!$J$4:$J$15,0)),1)*(1+SUMPRODUCT(--ISNUMBER(SEARCH(PharmaLogic!$J$20:$J$41,LOWER($O7&amp;" "&amp;$B7))),PharmaLogic!$K$20:$K$41-1))))</f>
        <v>1</v>
      </c>
      <c r="Q7" s="20" t="n">
        <f aca="false">IF($A7="","",MIN(1.6,IFERROR(INDEX(PharmaLogic!$L$4:$L$15,MATCH($N7,PharmaLogic!$J$4:$J$15,0)),1)*(1+SUMPRODUCT(--ISNUMBER(SEARCH(PharmaLogic!$J$20:$J$41,LOWER($O7&amp;" "&amp;$B7))),PharmaLogic!$L$20:$L$41-1))))</f>
        <v>1</v>
      </c>
      <c r="R7" s="20" t="n">
        <f aca="false">IF($A7="","",MIN(1.6,IFERROR(INDEX(PharmaLogic!$M$4:$M$15,MATCH($N7,PharmaLogic!$J$4:$J$15,0)),1)*(1+SUMPRODUCT(--ISNUMBER(SEARCH(PharmaLogic!$J$20:$J$41,LOWER($O7&amp;" "&amp;$B7))),PharmaLogic!$M$20:$M$41-1))))</f>
        <v>1</v>
      </c>
      <c r="S7" s="20" t="n">
        <f aca="false">IF($A7="","",MIN(1.6,IFERROR(INDEX(PharmaLogic!$N$4:$N$15,MATCH($N7,PharmaLogic!$J$4:$J$15,0)),1)*(1+SUMPRODUCT(--ISNUMBER(SEARCH(PharmaLogic!$J$20:$J$41,LOWER($O7&amp;" "&amp;$B7))),PharmaLogic!$N$20:$N$41-1))))</f>
        <v>1</v>
      </c>
      <c r="T7" s="20" t="n">
        <f aca="false">IF($A7="","",MIN(1.6,IFERROR(INDEX(PharmaLogic!$O$4:$O$15,MATCH($N7,PharmaLogic!$J$4:$J$15,0)),1)*(1+SUMPRODUCT(--ISNUMBER(SEARCH(PharmaLogic!$J$20:$J$41,LOWER($O7&amp;" "&amp;$B7))),PharmaLogic!$O$20:$O$41-1))))</f>
        <v>1</v>
      </c>
      <c r="U7" s="20" t="n">
        <f aca="false">IF($A7="","",MIN(1.6,IFERROR(INDEX(PharmaLogic!$P$4:$P$15,MATCH($N7,PharmaLogic!$J$4:$J$15,0)),1)*(1+SUMPRODUCT(--ISNUMBER(SEARCH(PharmaLogic!$J$20:$J$41,LOWER($O7&amp;" "&amp;$B7))),PharmaLogic!$P$20:$P$41-1))))</f>
        <v>1</v>
      </c>
    </row>
    <row r="8" customFormat="false" ht="15" hidden="false" customHeight="true" outlineLevel="0" collapsed="false">
      <c r="A8" s="17" t="n">
        <f aca="false">SignalRegister!A8</f>
        <v>0</v>
      </c>
      <c r="B8" s="17" t="str">
        <f aca="false">SignalRegister!D8</f>
        <v/>
      </c>
      <c r="C8" s="17" t="str">
        <f aca="false">SignalRegister!F8</f>
        <v/>
      </c>
      <c r="D8" s="17" t="str">
        <f aca="false">SignalRegister!G8</f>
        <v/>
      </c>
      <c r="E8" s="17" t="str">
        <f aca="false">SignalRegister!H8</f>
        <v/>
      </c>
      <c r="F8" s="17" t="str">
        <f aca="false">SignalRegister!I8</f>
        <v/>
      </c>
      <c r="G8" s="20" t="n">
        <f aca="false">IF($A8="","",IF($C8="Positive",1,-1)*((N($D8)+N($E8))/(2*5))*IF($C8="Positive",Actors!$C$4,Actors!$D$4)*Actors!$E$4*$P8)</f>
        <v>-0</v>
      </c>
      <c r="H8" s="20" t="n">
        <f aca="false">IF($A8="","",IF($C8="Positive",1,-1)*((N($D8)+N($E8))/(2*5))*IF($C8="Positive",Actors!$C$5,Actors!$D$5)*Actors!$E$5*$Q8)</f>
        <v>-0</v>
      </c>
      <c r="I8" s="20" t="n">
        <f aca="false">IF($A8="","",IF($C8="Positive",1,-1)*((N($D8)+N($E8))/(2*5))*IF($C8="Positive",Actors!$C$6,Actors!$D$6)*Actors!$E$6*$R8)</f>
        <v>-0</v>
      </c>
      <c r="J8" s="20" t="n">
        <f aca="false">IF($A8="","",IF($C8="Positive",1,-1)*((N($D8)+N($E8))/(2*5))*IF($C8="Positive",Actors!$C$7,Actors!$D$7)*Actors!$E$7*$S8)</f>
        <v>-0</v>
      </c>
      <c r="K8" s="20" t="n">
        <f aca="false">IF($A8="","",IF($C8="Positive",1,-1)*((N($D8)+N($E8))/(2*5))*IF($C8="Positive",Actors!$C$8,Actors!$D$8)*Actors!$E$8*$T8)</f>
        <v>-0</v>
      </c>
      <c r="L8" s="20" t="n">
        <f aca="false">IF($A8="","",IF($C8="Positive",1,-1)*((N($D8)+N($E8))/(2*5))*IF($C8="Positive",Actors!$C$9,Actors!$D$9)*Actors!$E$9*$U8)</f>
        <v>0</v>
      </c>
      <c r="M8" s="20" t="n">
        <f aca="false">IF(A8="","",G8*Actors!$B$4+H8*Actors!$B$5+I8*Actors!$B$6+J8*Actors!$B$7+K8*Actors!$B$8+L8*Actors!$B$9)</f>
        <v>0</v>
      </c>
      <c r="N8" s="17" t="str">
        <f aca="false">SignalRegister!E8</f>
        <v/>
      </c>
      <c r="O8" s="17" t="str">
        <f aca="false">SignalRegister!K8</f>
        <v/>
      </c>
      <c r="P8" s="20" t="n">
        <f aca="false">IF($A8="","",MIN(1.6,IFERROR(INDEX(PharmaLogic!$K$4:$K$15,MATCH($N8,PharmaLogic!$J$4:$J$15,0)),1)*(1+SUMPRODUCT(--ISNUMBER(SEARCH(PharmaLogic!$J$20:$J$41,LOWER($O8&amp;" "&amp;$B8))),PharmaLogic!$K$20:$K$41-1))))</f>
        <v>1</v>
      </c>
      <c r="Q8" s="20" t="n">
        <f aca="false">IF($A8="","",MIN(1.6,IFERROR(INDEX(PharmaLogic!$L$4:$L$15,MATCH($N8,PharmaLogic!$J$4:$J$15,0)),1)*(1+SUMPRODUCT(--ISNUMBER(SEARCH(PharmaLogic!$J$20:$J$41,LOWER($O8&amp;" "&amp;$B8))),PharmaLogic!$L$20:$L$41-1))))</f>
        <v>1</v>
      </c>
      <c r="R8" s="20" t="n">
        <f aca="false">IF($A8="","",MIN(1.6,IFERROR(INDEX(PharmaLogic!$M$4:$M$15,MATCH($N8,PharmaLogic!$J$4:$J$15,0)),1)*(1+SUMPRODUCT(--ISNUMBER(SEARCH(PharmaLogic!$J$20:$J$41,LOWER($O8&amp;" "&amp;$B8))),PharmaLogic!$M$20:$M$41-1))))</f>
        <v>1</v>
      </c>
      <c r="S8" s="20" t="n">
        <f aca="false">IF($A8="","",MIN(1.6,IFERROR(INDEX(PharmaLogic!$N$4:$N$15,MATCH($N8,PharmaLogic!$J$4:$J$15,0)),1)*(1+SUMPRODUCT(--ISNUMBER(SEARCH(PharmaLogic!$J$20:$J$41,LOWER($O8&amp;" "&amp;$B8))),PharmaLogic!$N$20:$N$41-1))))</f>
        <v>1</v>
      </c>
      <c r="T8" s="20" t="n">
        <f aca="false">IF($A8="","",MIN(1.6,IFERROR(INDEX(PharmaLogic!$O$4:$O$15,MATCH($N8,PharmaLogic!$J$4:$J$15,0)),1)*(1+SUMPRODUCT(--ISNUMBER(SEARCH(PharmaLogic!$J$20:$J$41,LOWER($O8&amp;" "&amp;$B8))),PharmaLogic!$O$20:$O$41-1))))</f>
        <v>1</v>
      </c>
      <c r="U8" s="20" t="n">
        <f aca="false">IF($A8="","",MIN(1.6,IFERROR(INDEX(PharmaLogic!$P$4:$P$15,MATCH($N8,PharmaLogic!$J$4:$J$15,0)),1)*(1+SUMPRODUCT(--ISNUMBER(SEARCH(PharmaLogic!$J$20:$J$41,LOWER($O8&amp;" "&amp;$B8))),PharmaLogic!$P$20:$P$41-1))))</f>
        <v>1</v>
      </c>
    </row>
    <row r="9" customFormat="false" ht="15" hidden="false" customHeight="true" outlineLevel="0" collapsed="false">
      <c r="A9" s="17" t="n">
        <f aca="false">SignalRegister!A9</f>
        <v>0</v>
      </c>
      <c r="B9" s="17" t="str">
        <f aca="false">SignalRegister!D9</f>
        <v/>
      </c>
      <c r="C9" s="17" t="str">
        <f aca="false">SignalRegister!F9</f>
        <v/>
      </c>
      <c r="D9" s="17" t="str">
        <f aca="false">SignalRegister!G9</f>
        <v/>
      </c>
      <c r="E9" s="17" t="str">
        <f aca="false">SignalRegister!H9</f>
        <v/>
      </c>
      <c r="F9" s="17" t="str">
        <f aca="false">SignalRegister!I9</f>
        <v/>
      </c>
      <c r="G9" s="20" t="n">
        <f aca="false">IF($A9="","",IF($C9="Positive",1,-1)*((N($D9)+N($E9))/(2*5))*IF($C9="Positive",Actors!$C$4,Actors!$D$4)*Actors!$E$4*$P9)</f>
        <v>-0</v>
      </c>
      <c r="H9" s="20" t="n">
        <f aca="false">IF($A9="","",IF($C9="Positive",1,-1)*((N($D9)+N($E9))/(2*5))*IF($C9="Positive",Actors!$C$5,Actors!$D$5)*Actors!$E$5*$Q9)</f>
        <v>-0</v>
      </c>
      <c r="I9" s="20" t="n">
        <f aca="false">IF($A9="","",IF($C9="Positive",1,-1)*((N($D9)+N($E9))/(2*5))*IF($C9="Positive",Actors!$C$6,Actors!$D$6)*Actors!$E$6*$R9)</f>
        <v>-0</v>
      </c>
      <c r="J9" s="20" t="n">
        <f aca="false">IF($A9="","",IF($C9="Positive",1,-1)*((N($D9)+N($E9))/(2*5))*IF($C9="Positive",Actors!$C$7,Actors!$D$7)*Actors!$E$7*$S9)</f>
        <v>-0</v>
      </c>
      <c r="K9" s="20" t="n">
        <f aca="false">IF($A9="","",IF($C9="Positive",1,-1)*((N($D9)+N($E9))/(2*5))*IF($C9="Positive",Actors!$C$8,Actors!$D$8)*Actors!$E$8*$T9)</f>
        <v>-0</v>
      </c>
      <c r="L9" s="20" t="n">
        <f aca="false">IF($A9="","",IF($C9="Positive",1,-1)*((N($D9)+N($E9))/(2*5))*IF($C9="Positive",Actors!$C$9,Actors!$D$9)*Actors!$E$9*$U9)</f>
        <v>0</v>
      </c>
      <c r="M9" s="20" t="n">
        <f aca="false">IF(A9="","",G9*Actors!$B$4+H9*Actors!$B$5+I9*Actors!$B$6+J9*Actors!$B$7+K9*Actors!$B$8+L9*Actors!$B$9)</f>
        <v>0</v>
      </c>
      <c r="N9" s="17" t="str">
        <f aca="false">SignalRegister!E9</f>
        <v/>
      </c>
      <c r="O9" s="17" t="str">
        <f aca="false">SignalRegister!K9</f>
        <v/>
      </c>
      <c r="P9" s="20" t="n">
        <f aca="false">IF($A9="","",MIN(1.6,IFERROR(INDEX(PharmaLogic!$K$4:$K$15,MATCH($N9,PharmaLogic!$J$4:$J$15,0)),1)*(1+SUMPRODUCT(--ISNUMBER(SEARCH(PharmaLogic!$J$20:$J$41,LOWER($O9&amp;" "&amp;$B9))),PharmaLogic!$K$20:$K$41-1))))</f>
        <v>1</v>
      </c>
      <c r="Q9" s="20" t="n">
        <f aca="false">IF($A9="","",MIN(1.6,IFERROR(INDEX(PharmaLogic!$L$4:$L$15,MATCH($N9,PharmaLogic!$J$4:$J$15,0)),1)*(1+SUMPRODUCT(--ISNUMBER(SEARCH(PharmaLogic!$J$20:$J$41,LOWER($O9&amp;" "&amp;$B9))),PharmaLogic!$L$20:$L$41-1))))</f>
        <v>1</v>
      </c>
      <c r="R9" s="20" t="n">
        <f aca="false">IF($A9="","",MIN(1.6,IFERROR(INDEX(PharmaLogic!$M$4:$M$15,MATCH($N9,PharmaLogic!$J$4:$J$15,0)),1)*(1+SUMPRODUCT(--ISNUMBER(SEARCH(PharmaLogic!$J$20:$J$41,LOWER($O9&amp;" "&amp;$B9))),PharmaLogic!$M$20:$M$41-1))))</f>
        <v>1</v>
      </c>
      <c r="S9" s="20" t="n">
        <f aca="false">IF($A9="","",MIN(1.6,IFERROR(INDEX(PharmaLogic!$N$4:$N$15,MATCH($N9,PharmaLogic!$J$4:$J$15,0)),1)*(1+SUMPRODUCT(--ISNUMBER(SEARCH(PharmaLogic!$J$20:$J$41,LOWER($O9&amp;" "&amp;$B9))),PharmaLogic!$N$20:$N$41-1))))</f>
        <v>1</v>
      </c>
      <c r="T9" s="20" t="n">
        <f aca="false">IF($A9="","",MIN(1.6,IFERROR(INDEX(PharmaLogic!$O$4:$O$15,MATCH($N9,PharmaLogic!$J$4:$J$15,0)),1)*(1+SUMPRODUCT(--ISNUMBER(SEARCH(PharmaLogic!$J$20:$J$41,LOWER($O9&amp;" "&amp;$B9))),PharmaLogic!$O$20:$O$41-1))))</f>
        <v>1</v>
      </c>
      <c r="U9" s="20" t="n">
        <f aca="false">IF($A9="","",MIN(1.6,IFERROR(INDEX(PharmaLogic!$P$4:$P$15,MATCH($N9,PharmaLogic!$J$4:$J$15,0)),1)*(1+SUMPRODUCT(--ISNUMBER(SEARCH(PharmaLogic!$J$20:$J$41,LOWER($O9&amp;" "&amp;$B9))),PharmaLogic!$P$20:$P$41-1))))</f>
        <v>1</v>
      </c>
    </row>
    <row r="10" customFormat="false" ht="15" hidden="false" customHeight="true" outlineLevel="0" collapsed="false">
      <c r="A10" s="17" t="n">
        <f aca="false">SignalRegister!A10</f>
        <v>0</v>
      </c>
      <c r="B10" s="17" t="str">
        <f aca="false">SignalRegister!D10</f>
        <v/>
      </c>
      <c r="C10" s="17" t="str">
        <f aca="false">SignalRegister!F10</f>
        <v/>
      </c>
      <c r="D10" s="17" t="str">
        <f aca="false">SignalRegister!G10</f>
        <v/>
      </c>
      <c r="E10" s="17" t="str">
        <f aca="false">SignalRegister!H10</f>
        <v/>
      </c>
      <c r="F10" s="17" t="str">
        <f aca="false">SignalRegister!I10</f>
        <v/>
      </c>
      <c r="G10" s="20" t="n">
        <f aca="false">IF($A10="","",IF($C10="Positive",1,-1)*((N($D10)+N($E10))/(2*5))*IF($C10="Positive",Actors!$C$4,Actors!$D$4)*Actors!$E$4*$P10)</f>
        <v>-0</v>
      </c>
      <c r="H10" s="20" t="n">
        <f aca="false">IF($A10="","",IF($C10="Positive",1,-1)*((N($D10)+N($E10))/(2*5))*IF($C10="Positive",Actors!$C$5,Actors!$D$5)*Actors!$E$5*$Q10)</f>
        <v>-0</v>
      </c>
      <c r="I10" s="20" t="n">
        <f aca="false">IF($A10="","",IF($C10="Positive",1,-1)*((N($D10)+N($E10))/(2*5))*IF($C10="Positive",Actors!$C$6,Actors!$D$6)*Actors!$E$6*$R10)</f>
        <v>-0</v>
      </c>
      <c r="J10" s="20" t="n">
        <f aca="false">IF($A10="","",IF($C10="Positive",1,-1)*((N($D10)+N($E10))/(2*5))*IF($C10="Positive",Actors!$C$7,Actors!$D$7)*Actors!$E$7*$S10)</f>
        <v>-0</v>
      </c>
      <c r="K10" s="20" t="n">
        <f aca="false">IF($A10="","",IF($C10="Positive",1,-1)*((N($D10)+N($E10))/(2*5))*IF($C10="Positive",Actors!$C$8,Actors!$D$8)*Actors!$E$8*$T10)</f>
        <v>-0</v>
      </c>
      <c r="L10" s="20" t="n">
        <f aca="false">IF($A10="","",IF($C10="Positive",1,-1)*((N($D10)+N($E10))/(2*5))*IF($C10="Positive",Actors!$C$9,Actors!$D$9)*Actors!$E$9*$U10)</f>
        <v>0</v>
      </c>
      <c r="M10" s="20" t="n">
        <f aca="false">IF(A10="","",G10*Actors!$B$4+H10*Actors!$B$5+I10*Actors!$B$6+J10*Actors!$B$7+K10*Actors!$B$8+L10*Actors!$B$9)</f>
        <v>0</v>
      </c>
      <c r="N10" s="17" t="str">
        <f aca="false">SignalRegister!E10</f>
        <v/>
      </c>
      <c r="O10" s="17" t="str">
        <f aca="false">SignalRegister!K10</f>
        <v/>
      </c>
      <c r="P10" s="20" t="n">
        <f aca="false">IF($A10="","",MIN(1.6,IFERROR(INDEX(PharmaLogic!$K$4:$K$15,MATCH($N10,PharmaLogic!$J$4:$J$15,0)),1)*(1+SUMPRODUCT(--ISNUMBER(SEARCH(PharmaLogic!$J$20:$J$41,LOWER($O10&amp;" "&amp;$B10))),PharmaLogic!$K$20:$K$41-1))))</f>
        <v>1</v>
      </c>
      <c r="Q10" s="20" t="n">
        <f aca="false">IF($A10="","",MIN(1.6,IFERROR(INDEX(PharmaLogic!$L$4:$L$15,MATCH($N10,PharmaLogic!$J$4:$J$15,0)),1)*(1+SUMPRODUCT(--ISNUMBER(SEARCH(PharmaLogic!$J$20:$J$41,LOWER($O10&amp;" "&amp;$B10))),PharmaLogic!$L$20:$L$41-1))))</f>
        <v>1</v>
      </c>
      <c r="R10" s="20" t="n">
        <f aca="false">IF($A10="","",MIN(1.6,IFERROR(INDEX(PharmaLogic!$M$4:$M$15,MATCH($N10,PharmaLogic!$J$4:$J$15,0)),1)*(1+SUMPRODUCT(--ISNUMBER(SEARCH(PharmaLogic!$J$20:$J$41,LOWER($O10&amp;" "&amp;$B10))),PharmaLogic!$M$20:$M$41-1))))</f>
        <v>1</v>
      </c>
      <c r="S10" s="20" t="n">
        <f aca="false">IF($A10="","",MIN(1.6,IFERROR(INDEX(PharmaLogic!$N$4:$N$15,MATCH($N10,PharmaLogic!$J$4:$J$15,0)),1)*(1+SUMPRODUCT(--ISNUMBER(SEARCH(PharmaLogic!$J$20:$J$41,LOWER($O10&amp;" "&amp;$B10))),PharmaLogic!$N$20:$N$41-1))))</f>
        <v>1</v>
      </c>
      <c r="T10" s="20" t="n">
        <f aca="false">IF($A10="","",MIN(1.6,IFERROR(INDEX(PharmaLogic!$O$4:$O$15,MATCH($N10,PharmaLogic!$J$4:$J$15,0)),1)*(1+SUMPRODUCT(--ISNUMBER(SEARCH(PharmaLogic!$J$20:$J$41,LOWER($O10&amp;" "&amp;$B10))),PharmaLogic!$O$20:$O$41-1))))</f>
        <v>1</v>
      </c>
      <c r="U10" s="20" t="n">
        <f aca="false">IF($A10="","",MIN(1.6,IFERROR(INDEX(PharmaLogic!$P$4:$P$15,MATCH($N10,PharmaLogic!$J$4:$J$15,0)),1)*(1+SUMPRODUCT(--ISNUMBER(SEARCH(PharmaLogic!$J$20:$J$41,LOWER($O10&amp;" "&amp;$B10))),PharmaLogic!$P$20:$P$41-1))))</f>
        <v>1</v>
      </c>
    </row>
    <row r="11" customFormat="false" ht="15" hidden="false" customHeight="true" outlineLevel="0" collapsed="false">
      <c r="A11" s="17" t="n">
        <f aca="false">SignalRegister!A11</f>
        <v>0</v>
      </c>
      <c r="B11" s="17" t="str">
        <f aca="false">SignalRegister!D11</f>
        <v/>
      </c>
      <c r="C11" s="17" t="str">
        <f aca="false">SignalRegister!F11</f>
        <v/>
      </c>
      <c r="D11" s="17" t="str">
        <f aca="false">SignalRegister!G11</f>
        <v/>
      </c>
      <c r="E11" s="17" t="str">
        <f aca="false">SignalRegister!H11</f>
        <v/>
      </c>
      <c r="F11" s="17" t="str">
        <f aca="false">SignalRegister!I11</f>
        <v/>
      </c>
      <c r="G11" s="20" t="n">
        <f aca="false">IF($A11="","",IF($C11="Positive",1,-1)*((N($D11)+N($E11))/(2*5))*IF($C11="Positive",Actors!$C$4,Actors!$D$4)*Actors!$E$4*$P11)</f>
        <v>-0</v>
      </c>
      <c r="H11" s="20" t="n">
        <f aca="false">IF($A11="","",IF($C11="Positive",1,-1)*((N($D11)+N($E11))/(2*5))*IF($C11="Positive",Actors!$C$5,Actors!$D$5)*Actors!$E$5*$Q11)</f>
        <v>-0</v>
      </c>
      <c r="I11" s="20" t="n">
        <f aca="false">IF($A11="","",IF($C11="Positive",1,-1)*((N($D11)+N($E11))/(2*5))*IF($C11="Positive",Actors!$C$6,Actors!$D$6)*Actors!$E$6*$R11)</f>
        <v>-0</v>
      </c>
      <c r="J11" s="20" t="n">
        <f aca="false">IF($A11="","",IF($C11="Positive",1,-1)*((N($D11)+N($E11))/(2*5))*IF($C11="Positive",Actors!$C$7,Actors!$D$7)*Actors!$E$7*$S11)</f>
        <v>-0</v>
      </c>
      <c r="K11" s="20" t="n">
        <f aca="false">IF($A11="","",IF($C11="Positive",1,-1)*((N($D11)+N($E11))/(2*5))*IF($C11="Positive",Actors!$C$8,Actors!$D$8)*Actors!$E$8*$T11)</f>
        <v>-0</v>
      </c>
      <c r="L11" s="20" t="n">
        <f aca="false">IF($A11="","",IF($C11="Positive",1,-1)*((N($D11)+N($E11))/(2*5))*IF($C11="Positive",Actors!$C$9,Actors!$D$9)*Actors!$E$9*$U11)</f>
        <v>0</v>
      </c>
      <c r="M11" s="20" t="n">
        <f aca="false">IF(A11="","",G11*Actors!$B$4+H11*Actors!$B$5+I11*Actors!$B$6+J11*Actors!$B$7+K11*Actors!$B$8+L11*Actors!$B$9)</f>
        <v>0</v>
      </c>
      <c r="N11" s="17" t="str">
        <f aca="false">SignalRegister!E11</f>
        <v/>
      </c>
      <c r="O11" s="17" t="str">
        <f aca="false">SignalRegister!K11</f>
        <v/>
      </c>
      <c r="P11" s="20" t="n">
        <f aca="false">IF($A11="","",MIN(1.6,IFERROR(INDEX(PharmaLogic!$K$4:$K$15,MATCH($N11,PharmaLogic!$J$4:$J$15,0)),1)*(1+SUMPRODUCT(--ISNUMBER(SEARCH(PharmaLogic!$J$20:$J$41,LOWER($O11&amp;" "&amp;$B11))),PharmaLogic!$K$20:$K$41-1))))</f>
        <v>1</v>
      </c>
      <c r="Q11" s="20" t="n">
        <f aca="false">IF($A11="","",MIN(1.6,IFERROR(INDEX(PharmaLogic!$L$4:$L$15,MATCH($N11,PharmaLogic!$J$4:$J$15,0)),1)*(1+SUMPRODUCT(--ISNUMBER(SEARCH(PharmaLogic!$J$20:$J$41,LOWER($O11&amp;" "&amp;$B11))),PharmaLogic!$L$20:$L$41-1))))</f>
        <v>1</v>
      </c>
      <c r="R11" s="20" t="n">
        <f aca="false">IF($A11="","",MIN(1.6,IFERROR(INDEX(PharmaLogic!$M$4:$M$15,MATCH($N11,PharmaLogic!$J$4:$J$15,0)),1)*(1+SUMPRODUCT(--ISNUMBER(SEARCH(PharmaLogic!$J$20:$J$41,LOWER($O11&amp;" "&amp;$B11))),PharmaLogic!$M$20:$M$41-1))))</f>
        <v>1</v>
      </c>
      <c r="S11" s="20" t="n">
        <f aca="false">IF($A11="","",MIN(1.6,IFERROR(INDEX(PharmaLogic!$N$4:$N$15,MATCH($N11,PharmaLogic!$J$4:$J$15,0)),1)*(1+SUMPRODUCT(--ISNUMBER(SEARCH(PharmaLogic!$J$20:$J$41,LOWER($O11&amp;" "&amp;$B11))),PharmaLogic!$N$20:$N$41-1))))</f>
        <v>1</v>
      </c>
      <c r="T11" s="20" t="n">
        <f aca="false">IF($A11="","",MIN(1.6,IFERROR(INDEX(PharmaLogic!$O$4:$O$15,MATCH($N11,PharmaLogic!$J$4:$J$15,0)),1)*(1+SUMPRODUCT(--ISNUMBER(SEARCH(PharmaLogic!$J$20:$J$41,LOWER($O11&amp;" "&amp;$B11))),PharmaLogic!$O$20:$O$41-1))))</f>
        <v>1</v>
      </c>
      <c r="U11" s="20" t="n">
        <f aca="false">IF($A11="","",MIN(1.6,IFERROR(INDEX(PharmaLogic!$P$4:$P$15,MATCH($N11,PharmaLogic!$J$4:$J$15,0)),1)*(1+SUMPRODUCT(--ISNUMBER(SEARCH(PharmaLogic!$J$20:$J$41,LOWER($O11&amp;" "&amp;$B11))),PharmaLogic!$P$20:$P$41-1))))</f>
        <v>1</v>
      </c>
    </row>
    <row r="12" customFormat="false" ht="15" hidden="false" customHeight="true" outlineLevel="0" collapsed="false">
      <c r="A12" s="17" t="n">
        <f aca="false">SignalRegister!A12</f>
        <v>0</v>
      </c>
      <c r="B12" s="17" t="str">
        <f aca="false">SignalRegister!D12</f>
        <v/>
      </c>
      <c r="C12" s="17" t="str">
        <f aca="false">SignalRegister!F12</f>
        <v/>
      </c>
      <c r="D12" s="17" t="str">
        <f aca="false">SignalRegister!G12</f>
        <v/>
      </c>
      <c r="E12" s="17" t="str">
        <f aca="false">SignalRegister!H12</f>
        <v/>
      </c>
      <c r="F12" s="17" t="str">
        <f aca="false">SignalRegister!I12</f>
        <v/>
      </c>
      <c r="G12" s="20" t="n">
        <f aca="false">IF($A12="","",IF($C12="Positive",1,-1)*((N($D12)+N($E12))/(2*5))*IF($C12="Positive",Actors!$C$4,Actors!$D$4)*Actors!$E$4*$P12)</f>
        <v>-0</v>
      </c>
      <c r="H12" s="20" t="n">
        <f aca="false">IF($A12="","",IF($C12="Positive",1,-1)*((N($D12)+N($E12))/(2*5))*IF($C12="Positive",Actors!$C$5,Actors!$D$5)*Actors!$E$5*$Q12)</f>
        <v>-0</v>
      </c>
      <c r="I12" s="20" t="n">
        <f aca="false">IF($A12="","",IF($C12="Positive",1,-1)*((N($D12)+N($E12))/(2*5))*IF($C12="Positive",Actors!$C$6,Actors!$D$6)*Actors!$E$6*$R12)</f>
        <v>-0</v>
      </c>
      <c r="J12" s="20" t="n">
        <f aca="false">IF($A12="","",IF($C12="Positive",1,-1)*((N($D12)+N($E12))/(2*5))*IF($C12="Positive",Actors!$C$7,Actors!$D$7)*Actors!$E$7*$S12)</f>
        <v>-0</v>
      </c>
      <c r="K12" s="20" t="n">
        <f aca="false">IF($A12="","",IF($C12="Positive",1,-1)*((N($D12)+N($E12))/(2*5))*IF($C12="Positive",Actors!$C$8,Actors!$D$8)*Actors!$E$8*$T12)</f>
        <v>-0</v>
      </c>
      <c r="L12" s="20" t="n">
        <f aca="false">IF($A12="","",IF($C12="Positive",1,-1)*((N($D12)+N($E12))/(2*5))*IF($C12="Positive",Actors!$C$9,Actors!$D$9)*Actors!$E$9*$U12)</f>
        <v>0</v>
      </c>
      <c r="M12" s="20" t="n">
        <f aca="false">IF(A12="","",G12*Actors!$B$4+H12*Actors!$B$5+I12*Actors!$B$6+J12*Actors!$B$7+K12*Actors!$B$8+L12*Actors!$B$9)</f>
        <v>0</v>
      </c>
      <c r="N12" s="17" t="str">
        <f aca="false">SignalRegister!E12</f>
        <v/>
      </c>
      <c r="O12" s="17" t="str">
        <f aca="false">SignalRegister!K12</f>
        <v/>
      </c>
      <c r="P12" s="20" t="n">
        <f aca="false">IF($A12="","",MIN(1.6,IFERROR(INDEX(PharmaLogic!$K$4:$K$15,MATCH($N12,PharmaLogic!$J$4:$J$15,0)),1)*(1+SUMPRODUCT(--ISNUMBER(SEARCH(PharmaLogic!$J$20:$J$41,LOWER($O12&amp;" "&amp;$B12))),PharmaLogic!$K$20:$K$41-1))))</f>
        <v>1</v>
      </c>
      <c r="Q12" s="20" t="n">
        <f aca="false">IF($A12="","",MIN(1.6,IFERROR(INDEX(PharmaLogic!$L$4:$L$15,MATCH($N12,PharmaLogic!$J$4:$J$15,0)),1)*(1+SUMPRODUCT(--ISNUMBER(SEARCH(PharmaLogic!$J$20:$J$41,LOWER($O12&amp;" "&amp;$B12))),PharmaLogic!$L$20:$L$41-1))))</f>
        <v>1</v>
      </c>
      <c r="R12" s="20" t="n">
        <f aca="false">IF($A12="","",MIN(1.6,IFERROR(INDEX(PharmaLogic!$M$4:$M$15,MATCH($N12,PharmaLogic!$J$4:$J$15,0)),1)*(1+SUMPRODUCT(--ISNUMBER(SEARCH(PharmaLogic!$J$20:$J$41,LOWER($O12&amp;" "&amp;$B12))),PharmaLogic!$M$20:$M$41-1))))</f>
        <v>1</v>
      </c>
      <c r="S12" s="20" t="n">
        <f aca="false">IF($A12="","",MIN(1.6,IFERROR(INDEX(PharmaLogic!$N$4:$N$15,MATCH($N12,PharmaLogic!$J$4:$J$15,0)),1)*(1+SUMPRODUCT(--ISNUMBER(SEARCH(PharmaLogic!$J$20:$J$41,LOWER($O12&amp;" "&amp;$B12))),PharmaLogic!$N$20:$N$41-1))))</f>
        <v>1</v>
      </c>
      <c r="T12" s="20" t="n">
        <f aca="false">IF($A12="","",MIN(1.6,IFERROR(INDEX(PharmaLogic!$O$4:$O$15,MATCH($N12,PharmaLogic!$J$4:$J$15,0)),1)*(1+SUMPRODUCT(--ISNUMBER(SEARCH(PharmaLogic!$J$20:$J$41,LOWER($O12&amp;" "&amp;$B12))),PharmaLogic!$O$20:$O$41-1))))</f>
        <v>1</v>
      </c>
      <c r="U12" s="20" t="n">
        <f aca="false">IF($A12="","",MIN(1.6,IFERROR(INDEX(PharmaLogic!$P$4:$P$15,MATCH($N12,PharmaLogic!$J$4:$J$15,0)),1)*(1+SUMPRODUCT(--ISNUMBER(SEARCH(PharmaLogic!$J$20:$J$41,LOWER($O12&amp;" "&amp;$B12))),PharmaLogic!$P$20:$P$41-1))))</f>
        <v>1</v>
      </c>
    </row>
    <row r="13" customFormat="false" ht="15" hidden="false" customHeight="true" outlineLevel="0" collapsed="false">
      <c r="A13" s="17" t="n">
        <f aca="false">SignalRegister!A13</f>
        <v>0</v>
      </c>
      <c r="B13" s="17" t="str">
        <f aca="false">SignalRegister!D13</f>
        <v/>
      </c>
      <c r="C13" s="17" t="str">
        <f aca="false">SignalRegister!F13</f>
        <v/>
      </c>
      <c r="D13" s="17" t="str">
        <f aca="false">SignalRegister!G13</f>
        <v/>
      </c>
      <c r="E13" s="17" t="str">
        <f aca="false">SignalRegister!H13</f>
        <v/>
      </c>
      <c r="F13" s="17" t="str">
        <f aca="false">SignalRegister!I13</f>
        <v/>
      </c>
      <c r="G13" s="20" t="n">
        <f aca="false">IF($A13="","",IF($C13="Positive",1,-1)*((N($D13)+N($E13))/(2*5))*IF($C13="Positive",Actors!$C$4,Actors!$D$4)*Actors!$E$4*$P13)</f>
        <v>-0</v>
      </c>
      <c r="H13" s="20" t="n">
        <f aca="false">IF($A13="","",IF($C13="Positive",1,-1)*((N($D13)+N($E13))/(2*5))*IF($C13="Positive",Actors!$C$5,Actors!$D$5)*Actors!$E$5*$Q13)</f>
        <v>-0</v>
      </c>
      <c r="I13" s="20" t="n">
        <f aca="false">IF($A13="","",IF($C13="Positive",1,-1)*((N($D13)+N($E13))/(2*5))*IF($C13="Positive",Actors!$C$6,Actors!$D$6)*Actors!$E$6*$R13)</f>
        <v>-0</v>
      </c>
      <c r="J13" s="20" t="n">
        <f aca="false">IF($A13="","",IF($C13="Positive",1,-1)*((N($D13)+N($E13))/(2*5))*IF($C13="Positive",Actors!$C$7,Actors!$D$7)*Actors!$E$7*$S13)</f>
        <v>-0</v>
      </c>
      <c r="K13" s="20" t="n">
        <f aca="false">IF($A13="","",IF($C13="Positive",1,-1)*((N($D13)+N($E13))/(2*5))*IF($C13="Positive",Actors!$C$8,Actors!$D$8)*Actors!$E$8*$T13)</f>
        <v>-0</v>
      </c>
      <c r="L13" s="20" t="n">
        <f aca="false">IF($A13="","",IF($C13="Positive",1,-1)*((N($D13)+N($E13))/(2*5))*IF($C13="Positive",Actors!$C$9,Actors!$D$9)*Actors!$E$9*$U13)</f>
        <v>0</v>
      </c>
      <c r="M13" s="20" t="n">
        <f aca="false">IF(A13="","",G13*Actors!$B$4+H13*Actors!$B$5+I13*Actors!$B$6+J13*Actors!$B$7+K13*Actors!$B$8+L13*Actors!$B$9)</f>
        <v>0</v>
      </c>
      <c r="N13" s="17" t="str">
        <f aca="false">SignalRegister!E13</f>
        <v/>
      </c>
      <c r="O13" s="17" t="str">
        <f aca="false">SignalRegister!K13</f>
        <v/>
      </c>
      <c r="P13" s="20" t="n">
        <f aca="false">IF($A13="","",MIN(1.6,IFERROR(INDEX(PharmaLogic!$K$4:$K$15,MATCH($N13,PharmaLogic!$J$4:$J$15,0)),1)*(1+SUMPRODUCT(--ISNUMBER(SEARCH(PharmaLogic!$J$20:$J$41,LOWER($O13&amp;" "&amp;$B13))),PharmaLogic!$K$20:$K$41-1))))</f>
        <v>1</v>
      </c>
      <c r="Q13" s="20" t="n">
        <f aca="false">IF($A13="","",MIN(1.6,IFERROR(INDEX(PharmaLogic!$L$4:$L$15,MATCH($N13,PharmaLogic!$J$4:$J$15,0)),1)*(1+SUMPRODUCT(--ISNUMBER(SEARCH(PharmaLogic!$J$20:$J$41,LOWER($O13&amp;" "&amp;$B13))),PharmaLogic!$L$20:$L$41-1))))</f>
        <v>1</v>
      </c>
      <c r="R13" s="20" t="n">
        <f aca="false">IF($A13="","",MIN(1.6,IFERROR(INDEX(PharmaLogic!$M$4:$M$15,MATCH($N13,PharmaLogic!$J$4:$J$15,0)),1)*(1+SUMPRODUCT(--ISNUMBER(SEARCH(PharmaLogic!$J$20:$J$41,LOWER($O13&amp;" "&amp;$B13))),PharmaLogic!$M$20:$M$41-1))))</f>
        <v>1</v>
      </c>
      <c r="S13" s="20" t="n">
        <f aca="false">IF($A13="","",MIN(1.6,IFERROR(INDEX(PharmaLogic!$N$4:$N$15,MATCH($N13,PharmaLogic!$J$4:$J$15,0)),1)*(1+SUMPRODUCT(--ISNUMBER(SEARCH(PharmaLogic!$J$20:$J$41,LOWER($O13&amp;" "&amp;$B13))),PharmaLogic!$N$20:$N$41-1))))</f>
        <v>1</v>
      </c>
      <c r="T13" s="20" t="n">
        <f aca="false">IF($A13="","",MIN(1.6,IFERROR(INDEX(PharmaLogic!$O$4:$O$15,MATCH($N13,PharmaLogic!$J$4:$J$15,0)),1)*(1+SUMPRODUCT(--ISNUMBER(SEARCH(PharmaLogic!$J$20:$J$41,LOWER($O13&amp;" "&amp;$B13))),PharmaLogic!$O$20:$O$41-1))))</f>
        <v>1</v>
      </c>
      <c r="U13" s="20" t="n">
        <f aca="false">IF($A13="","",MIN(1.6,IFERROR(INDEX(PharmaLogic!$P$4:$P$15,MATCH($N13,PharmaLogic!$J$4:$J$15,0)),1)*(1+SUMPRODUCT(--ISNUMBER(SEARCH(PharmaLogic!$J$20:$J$41,LOWER($O13&amp;" "&amp;$B13))),PharmaLogic!$P$20:$P$41-1))))</f>
        <v>1</v>
      </c>
    </row>
    <row r="14" customFormat="false" ht="15" hidden="false" customHeight="true" outlineLevel="0" collapsed="false">
      <c r="A14" s="17" t="str">
        <f aca="false">SignalRegister!A14</f>
        <v/>
      </c>
      <c r="B14" s="17" t="str">
        <f aca="false">SignalRegister!D14</f>
        <v/>
      </c>
      <c r="C14" s="17" t="str">
        <f aca="false">SignalRegister!F14</f>
        <v/>
      </c>
      <c r="D14" s="17" t="str">
        <f aca="false">SignalRegister!G14</f>
        <v/>
      </c>
      <c r="E14" s="17" t="str">
        <f aca="false">SignalRegister!H14</f>
        <v/>
      </c>
      <c r="F14" s="17" t="str">
        <f aca="false">SignalRegister!I14</f>
        <v/>
      </c>
      <c r="G14" s="20" t="str">
        <f aca="false">IF($A14="","",IF($C14="Positive",1,-1)*((N($D14)+N($E14))/(2*5))*IF($C14="Positive",Actors!$C$4,Actors!$D$4)*Actors!$E$4*$P14)</f>
        <v/>
      </c>
      <c r="H14" s="20" t="str">
        <f aca="false">IF($A14="","",IF($C14="Positive",1,-1)*((N($D14)+N($E14))/(2*5))*IF($C14="Positive",Actors!$C$5,Actors!$D$5)*Actors!$E$5*$Q14)</f>
        <v/>
      </c>
      <c r="I14" s="20" t="str">
        <f aca="false">IF($A14="","",IF($C14="Positive",1,-1)*((N($D14)+N($E14))/(2*5))*IF($C14="Positive",Actors!$C$6,Actors!$D$6)*Actors!$E$6*$R14)</f>
        <v/>
      </c>
      <c r="J14" s="20" t="str">
        <f aca="false">IF($A14="","",IF($C14="Positive",1,-1)*((N($D14)+N($E14))/(2*5))*IF($C14="Positive",Actors!$C$7,Actors!$D$7)*Actors!$E$7*$S14)</f>
        <v/>
      </c>
      <c r="K14" s="20" t="str">
        <f aca="false">IF($A14="","",IF($C14="Positive",1,-1)*((N($D14)+N($E14))/(2*5))*IF($C14="Positive",Actors!$C$8,Actors!$D$8)*Actors!$E$8*$T14)</f>
        <v/>
      </c>
      <c r="L14" s="20" t="str">
        <f aca="false">IF($A14="","",IF($C14="Positive",1,-1)*((N($D14)+N($E14))/(2*5))*IF($C14="Positive",Actors!$C$9,Actors!$D$9)*Actors!$E$9*$U14)</f>
        <v/>
      </c>
      <c r="M14" s="20" t="str">
        <f aca="false">IF(A14="","",G14*Actors!$B$4+H14*Actors!$B$5+I14*Actors!$B$6+J14*Actors!$B$7+K14*Actors!$B$8+L14*Actors!$B$9)</f>
        <v/>
      </c>
      <c r="N14" s="17" t="str">
        <f aca="false">SignalRegister!E14</f>
        <v/>
      </c>
      <c r="O14" s="17" t="str">
        <f aca="false">SignalRegister!K14</f>
        <v/>
      </c>
      <c r="P14" s="20" t="str">
        <f aca="false">IF($A14="","",MIN(1.6,IFERROR(INDEX(PharmaLogic!$K$4:$K$15,MATCH($N14,PharmaLogic!$J$4:$J$15,0)),1)*(1+SUMPRODUCT(--ISNUMBER(SEARCH(PharmaLogic!$J$20:$J$41,LOWER($O14&amp;" "&amp;$B14))),PharmaLogic!$K$20:$K$41-1))))</f>
        <v/>
      </c>
      <c r="Q14" s="20" t="str">
        <f aca="false">IF($A14="","",MIN(1.6,IFERROR(INDEX(PharmaLogic!$L$4:$L$15,MATCH($N14,PharmaLogic!$J$4:$J$15,0)),1)*(1+SUMPRODUCT(--ISNUMBER(SEARCH(PharmaLogic!$J$20:$J$41,LOWER($O14&amp;" "&amp;$B14))),PharmaLogic!$L$20:$L$41-1))))</f>
        <v/>
      </c>
      <c r="R14" s="20" t="str">
        <f aca="false">IF($A14="","",MIN(1.6,IFERROR(INDEX(PharmaLogic!$M$4:$M$15,MATCH($N14,PharmaLogic!$J$4:$J$15,0)),1)*(1+SUMPRODUCT(--ISNUMBER(SEARCH(PharmaLogic!$J$20:$J$41,LOWER($O14&amp;" "&amp;$B14))),PharmaLogic!$M$20:$M$41-1))))</f>
        <v/>
      </c>
      <c r="S14" s="20" t="str">
        <f aca="false">IF($A14="","",MIN(1.6,IFERROR(INDEX(PharmaLogic!$N$4:$N$15,MATCH($N14,PharmaLogic!$J$4:$J$15,0)),1)*(1+SUMPRODUCT(--ISNUMBER(SEARCH(PharmaLogic!$J$20:$J$41,LOWER($O14&amp;" "&amp;$B14))),PharmaLogic!$N$20:$N$41-1))))</f>
        <v/>
      </c>
      <c r="T14" s="20" t="str">
        <f aca="false">IF($A14="","",MIN(1.6,IFERROR(INDEX(PharmaLogic!$O$4:$O$15,MATCH($N14,PharmaLogic!$J$4:$J$15,0)),1)*(1+SUMPRODUCT(--ISNUMBER(SEARCH(PharmaLogic!$J$20:$J$41,LOWER($O14&amp;" "&amp;$B14))),PharmaLogic!$O$20:$O$41-1))))</f>
        <v/>
      </c>
      <c r="U14" s="20" t="str">
        <f aca="false">IF($A14="","",MIN(1.6,IFERROR(INDEX(PharmaLogic!$P$4:$P$15,MATCH($N14,PharmaLogic!$J$4:$J$15,0)),1)*(1+SUMPRODUCT(--ISNUMBER(SEARCH(PharmaLogic!$J$20:$J$41,LOWER($O14&amp;" "&amp;$B14))),PharmaLogic!$P$20:$P$41-1))))</f>
        <v/>
      </c>
    </row>
    <row r="15" customFormat="false" ht="15" hidden="false" customHeight="true" outlineLevel="0" collapsed="false">
      <c r="A15" s="17" t="str">
        <f aca="false">SignalRegister!A15</f>
        <v/>
      </c>
      <c r="B15" s="17" t="str">
        <f aca="false">SignalRegister!D15</f>
        <v/>
      </c>
      <c r="C15" s="17" t="str">
        <f aca="false">SignalRegister!F15</f>
        <v/>
      </c>
      <c r="D15" s="17" t="str">
        <f aca="false">SignalRegister!G15</f>
        <v/>
      </c>
      <c r="E15" s="17" t="str">
        <f aca="false">SignalRegister!H15</f>
        <v/>
      </c>
      <c r="F15" s="17" t="str">
        <f aca="false">SignalRegister!I15</f>
        <v/>
      </c>
      <c r="G15" s="20" t="str">
        <f aca="false">IF($A15="","",IF($C15="Positive",1,-1)*((N($D15)+N($E15))/(2*5))*IF($C15="Positive",Actors!$C$4,Actors!$D$4)*Actors!$E$4*$P15)</f>
        <v/>
      </c>
      <c r="H15" s="20" t="str">
        <f aca="false">IF($A15="","",IF($C15="Positive",1,-1)*((N($D15)+N($E15))/(2*5))*IF($C15="Positive",Actors!$C$5,Actors!$D$5)*Actors!$E$5*$Q15)</f>
        <v/>
      </c>
      <c r="I15" s="20" t="str">
        <f aca="false">IF($A15="","",IF($C15="Positive",1,-1)*((N($D15)+N($E15))/(2*5))*IF($C15="Positive",Actors!$C$6,Actors!$D$6)*Actors!$E$6*$R15)</f>
        <v/>
      </c>
      <c r="J15" s="20" t="str">
        <f aca="false">IF($A15="","",IF($C15="Positive",1,-1)*((N($D15)+N($E15))/(2*5))*IF($C15="Positive",Actors!$C$7,Actors!$D$7)*Actors!$E$7*$S15)</f>
        <v/>
      </c>
      <c r="K15" s="20" t="str">
        <f aca="false">IF($A15="","",IF($C15="Positive",1,-1)*((N($D15)+N($E15))/(2*5))*IF($C15="Positive",Actors!$C$8,Actors!$D$8)*Actors!$E$8*$T15)</f>
        <v/>
      </c>
      <c r="L15" s="20" t="str">
        <f aca="false">IF($A15="","",IF($C15="Positive",1,-1)*((N($D15)+N($E15))/(2*5))*IF($C15="Positive",Actors!$C$9,Actors!$D$9)*Actors!$E$9*$U15)</f>
        <v/>
      </c>
      <c r="M15" s="20" t="str">
        <f aca="false">IF(A15="","",G15*Actors!$B$4+H15*Actors!$B$5+I15*Actors!$B$6+J15*Actors!$B$7+K15*Actors!$B$8+L15*Actors!$B$9)</f>
        <v/>
      </c>
      <c r="N15" s="17" t="str">
        <f aca="false">SignalRegister!E15</f>
        <v/>
      </c>
      <c r="O15" s="17" t="str">
        <f aca="false">SignalRegister!K15</f>
        <v/>
      </c>
      <c r="P15" s="20" t="str">
        <f aca="false">IF($A15="","",MIN(1.6,IFERROR(INDEX(PharmaLogic!$K$4:$K$15,MATCH($N15,PharmaLogic!$J$4:$J$15,0)),1)*(1+SUMPRODUCT(--ISNUMBER(SEARCH(PharmaLogic!$J$20:$J$41,LOWER($O15&amp;" "&amp;$B15))),PharmaLogic!$K$20:$K$41-1))))</f>
        <v/>
      </c>
      <c r="Q15" s="20" t="str">
        <f aca="false">IF($A15="","",MIN(1.6,IFERROR(INDEX(PharmaLogic!$L$4:$L$15,MATCH($N15,PharmaLogic!$J$4:$J$15,0)),1)*(1+SUMPRODUCT(--ISNUMBER(SEARCH(PharmaLogic!$J$20:$J$41,LOWER($O15&amp;" "&amp;$B15))),PharmaLogic!$L$20:$L$41-1))))</f>
        <v/>
      </c>
      <c r="R15" s="20" t="str">
        <f aca="false">IF($A15="","",MIN(1.6,IFERROR(INDEX(PharmaLogic!$M$4:$M$15,MATCH($N15,PharmaLogic!$J$4:$J$15,0)),1)*(1+SUMPRODUCT(--ISNUMBER(SEARCH(PharmaLogic!$J$20:$J$41,LOWER($O15&amp;" "&amp;$B15))),PharmaLogic!$M$20:$M$41-1))))</f>
        <v/>
      </c>
      <c r="S15" s="20" t="str">
        <f aca="false">IF($A15="","",MIN(1.6,IFERROR(INDEX(PharmaLogic!$N$4:$N$15,MATCH($N15,PharmaLogic!$J$4:$J$15,0)),1)*(1+SUMPRODUCT(--ISNUMBER(SEARCH(PharmaLogic!$J$20:$J$41,LOWER($O15&amp;" "&amp;$B15))),PharmaLogic!$N$20:$N$41-1))))</f>
        <v/>
      </c>
      <c r="T15" s="20" t="str">
        <f aca="false">IF($A15="","",MIN(1.6,IFERROR(INDEX(PharmaLogic!$O$4:$O$15,MATCH($N15,PharmaLogic!$J$4:$J$15,0)),1)*(1+SUMPRODUCT(--ISNUMBER(SEARCH(PharmaLogic!$J$20:$J$41,LOWER($O15&amp;" "&amp;$B15))),PharmaLogic!$O$20:$O$41-1))))</f>
        <v/>
      </c>
      <c r="U15" s="20" t="str">
        <f aca="false">IF($A15="","",MIN(1.6,IFERROR(INDEX(PharmaLogic!$P$4:$P$15,MATCH($N15,PharmaLogic!$J$4:$J$15,0)),1)*(1+SUMPRODUCT(--ISNUMBER(SEARCH(PharmaLogic!$J$20:$J$41,LOWER($O15&amp;" "&amp;$B15))),PharmaLogic!$P$20:$P$41-1))))</f>
        <v/>
      </c>
    </row>
    <row r="16" customFormat="false" ht="15" hidden="false" customHeight="true" outlineLevel="0" collapsed="false">
      <c r="A16" s="17" t="str">
        <f aca="false">SignalRegister!A16</f>
        <v/>
      </c>
      <c r="B16" s="17" t="str">
        <f aca="false">SignalRegister!D16</f>
        <v/>
      </c>
      <c r="C16" s="17" t="str">
        <f aca="false">SignalRegister!F16</f>
        <v/>
      </c>
      <c r="D16" s="17" t="str">
        <f aca="false">SignalRegister!G16</f>
        <v/>
      </c>
      <c r="E16" s="17" t="str">
        <f aca="false">SignalRegister!H16</f>
        <v/>
      </c>
      <c r="F16" s="17" t="str">
        <f aca="false">SignalRegister!I16</f>
        <v/>
      </c>
      <c r="G16" s="20" t="str">
        <f aca="false">IF($A16="","",IF($C16="Positive",1,-1)*((N($D16)+N($E16))/(2*5))*IF($C16="Positive",Actors!$C$4,Actors!$D$4)*Actors!$E$4*$P16)</f>
        <v/>
      </c>
      <c r="H16" s="20" t="str">
        <f aca="false">IF($A16="","",IF($C16="Positive",1,-1)*((N($D16)+N($E16))/(2*5))*IF($C16="Positive",Actors!$C$5,Actors!$D$5)*Actors!$E$5*$Q16)</f>
        <v/>
      </c>
      <c r="I16" s="20" t="str">
        <f aca="false">IF($A16="","",IF($C16="Positive",1,-1)*((N($D16)+N($E16))/(2*5))*IF($C16="Positive",Actors!$C$6,Actors!$D$6)*Actors!$E$6*$R16)</f>
        <v/>
      </c>
      <c r="J16" s="20" t="str">
        <f aca="false">IF($A16="","",IF($C16="Positive",1,-1)*((N($D16)+N($E16))/(2*5))*IF($C16="Positive",Actors!$C$7,Actors!$D$7)*Actors!$E$7*$S16)</f>
        <v/>
      </c>
      <c r="K16" s="20" t="str">
        <f aca="false">IF($A16="","",IF($C16="Positive",1,-1)*((N($D16)+N($E16))/(2*5))*IF($C16="Positive",Actors!$C$8,Actors!$D$8)*Actors!$E$8*$T16)</f>
        <v/>
      </c>
      <c r="L16" s="20" t="str">
        <f aca="false">IF($A16="","",IF($C16="Positive",1,-1)*((N($D16)+N($E16))/(2*5))*IF($C16="Positive",Actors!$C$9,Actors!$D$9)*Actors!$E$9*$U16)</f>
        <v/>
      </c>
      <c r="M16" s="20" t="str">
        <f aca="false">IF(A16="","",G16*Actors!$B$4+H16*Actors!$B$5+I16*Actors!$B$6+J16*Actors!$B$7+K16*Actors!$B$8+L16*Actors!$B$9)</f>
        <v/>
      </c>
      <c r="N16" s="17" t="str">
        <f aca="false">SignalRegister!E16</f>
        <v/>
      </c>
      <c r="O16" s="17" t="str">
        <f aca="false">SignalRegister!K16</f>
        <v/>
      </c>
      <c r="P16" s="20" t="str">
        <f aca="false">IF($A16="","",MIN(1.6,IFERROR(INDEX(PharmaLogic!$K$4:$K$15,MATCH($N16,PharmaLogic!$J$4:$J$15,0)),1)*(1+SUMPRODUCT(--ISNUMBER(SEARCH(PharmaLogic!$J$20:$J$41,LOWER($O16&amp;" "&amp;$B16))),PharmaLogic!$K$20:$K$41-1))))</f>
        <v/>
      </c>
      <c r="Q16" s="20" t="str">
        <f aca="false">IF($A16="","",MIN(1.6,IFERROR(INDEX(PharmaLogic!$L$4:$L$15,MATCH($N16,PharmaLogic!$J$4:$J$15,0)),1)*(1+SUMPRODUCT(--ISNUMBER(SEARCH(PharmaLogic!$J$20:$J$41,LOWER($O16&amp;" "&amp;$B16))),PharmaLogic!$L$20:$L$41-1))))</f>
        <v/>
      </c>
      <c r="R16" s="20" t="str">
        <f aca="false">IF($A16="","",MIN(1.6,IFERROR(INDEX(PharmaLogic!$M$4:$M$15,MATCH($N16,PharmaLogic!$J$4:$J$15,0)),1)*(1+SUMPRODUCT(--ISNUMBER(SEARCH(PharmaLogic!$J$20:$J$41,LOWER($O16&amp;" "&amp;$B16))),PharmaLogic!$M$20:$M$41-1))))</f>
        <v/>
      </c>
      <c r="S16" s="20" t="str">
        <f aca="false">IF($A16="","",MIN(1.6,IFERROR(INDEX(PharmaLogic!$N$4:$N$15,MATCH($N16,PharmaLogic!$J$4:$J$15,0)),1)*(1+SUMPRODUCT(--ISNUMBER(SEARCH(PharmaLogic!$J$20:$J$41,LOWER($O16&amp;" "&amp;$B16))),PharmaLogic!$N$20:$N$41-1))))</f>
        <v/>
      </c>
      <c r="T16" s="20" t="str">
        <f aca="false">IF($A16="","",MIN(1.6,IFERROR(INDEX(PharmaLogic!$O$4:$O$15,MATCH($N16,PharmaLogic!$J$4:$J$15,0)),1)*(1+SUMPRODUCT(--ISNUMBER(SEARCH(PharmaLogic!$J$20:$J$41,LOWER($O16&amp;" "&amp;$B16))),PharmaLogic!$O$20:$O$41-1))))</f>
        <v/>
      </c>
      <c r="U16" s="20" t="str">
        <f aca="false">IF($A16="","",MIN(1.6,IFERROR(INDEX(PharmaLogic!$P$4:$P$15,MATCH($N16,PharmaLogic!$J$4:$J$15,0)),1)*(1+SUMPRODUCT(--ISNUMBER(SEARCH(PharmaLogic!$J$20:$J$41,LOWER($O16&amp;" "&amp;$B16))),PharmaLogic!$P$20:$P$41-1))))</f>
        <v/>
      </c>
    </row>
    <row r="17" customFormat="false" ht="15" hidden="false" customHeight="true" outlineLevel="0" collapsed="false">
      <c r="A17" s="17" t="str">
        <f aca="false">SignalRegister!A17</f>
        <v/>
      </c>
      <c r="B17" s="17" t="str">
        <f aca="false">SignalRegister!D17</f>
        <v/>
      </c>
      <c r="C17" s="17" t="str">
        <f aca="false">SignalRegister!F17</f>
        <v/>
      </c>
      <c r="D17" s="17" t="str">
        <f aca="false">SignalRegister!G17</f>
        <v/>
      </c>
      <c r="E17" s="17" t="str">
        <f aca="false">SignalRegister!H17</f>
        <v/>
      </c>
      <c r="F17" s="17" t="str">
        <f aca="false">SignalRegister!I17</f>
        <v/>
      </c>
      <c r="G17" s="20" t="str">
        <f aca="false">IF($A17="","",IF($C17="Positive",1,-1)*((N($D17)+N($E17))/(2*5))*IF($C17="Positive",Actors!$C$4,Actors!$D$4)*Actors!$E$4*$P17)</f>
        <v/>
      </c>
      <c r="H17" s="20" t="str">
        <f aca="false">IF($A17="","",IF($C17="Positive",1,-1)*((N($D17)+N($E17))/(2*5))*IF($C17="Positive",Actors!$C$5,Actors!$D$5)*Actors!$E$5*$Q17)</f>
        <v/>
      </c>
      <c r="I17" s="20" t="str">
        <f aca="false">IF($A17="","",IF($C17="Positive",1,-1)*((N($D17)+N($E17))/(2*5))*IF($C17="Positive",Actors!$C$6,Actors!$D$6)*Actors!$E$6*$R17)</f>
        <v/>
      </c>
      <c r="J17" s="20" t="str">
        <f aca="false">IF($A17="","",IF($C17="Positive",1,-1)*((N($D17)+N($E17))/(2*5))*IF($C17="Positive",Actors!$C$7,Actors!$D$7)*Actors!$E$7*$S17)</f>
        <v/>
      </c>
      <c r="K17" s="20" t="str">
        <f aca="false">IF($A17="","",IF($C17="Positive",1,-1)*((N($D17)+N($E17))/(2*5))*IF($C17="Positive",Actors!$C$8,Actors!$D$8)*Actors!$E$8*$T17)</f>
        <v/>
      </c>
      <c r="L17" s="20" t="str">
        <f aca="false">IF($A17="","",IF($C17="Positive",1,-1)*((N($D17)+N($E17))/(2*5))*IF($C17="Positive",Actors!$C$9,Actors!$D$9)*Actors!$E$9*$U17)</f>
        <v/>
      </c>
      <c r="M17" s="20" t="str">
        <f aca="false">IF(A17="","",G17*Actors!$B$4+H17*Actors!$B$5+I17*Actors!$B$6+J17*Actors!$B$7+K17*Actors!$B$8+L17*Actors!$B$9)</f>
        <v/>
      </c>
      <c r="N17" s="17" t="str">
        <f aca="false">SignalRegister!E17</f>
        <v/>
      </c>
      <c r="O17" s="17" t="str">
        <f aca="false">SignalRegister!K17</f>
        <v/>
      </c>
      <c r="P17" s="20" t="str">
        <f aca="false">IF($A17="","",MIN(1.6,IFERROR(INDEX(PharmaLogic!$K$4:$K$15,MATCH($N17,PharmaLogic!$J$4:$J$15,0)),1)*(1+SUMPRODUCT(--ISNUMBER(SEARCH(PharmaLogic!$J$20:$J$41,LOWER($O17&amp;" "&amp;$B17))),PharmaLogic!$K$20:$K$41-1))))</f>
        <v/>
      </c>
      <c r="Q17" s="20" t="str">
        <f aca="false">IF($A17="","",MIN(1.6,IFERROR(INDEX(PharmaLogic!$L$4:$L$15,MATCH($N17,PharmaLogic!$J$4:$J$15,0)),1)*(1+SUMPRODUCT(--ISNUMBER(SEARCH(PharmaLogic!$J$20:$J$41,LOWER($O17&amp;" "&amp;$B17))),PharmaLogic!$L$20:$L$41-1))))</f>
        <v/>
      </c>
      <c r="R17" s="20" t="str">
        <f aca="false">IF($A17="","",MIN(1.6,IFERROR(INDEX(PharmaLogic!$M$4:$M$15,MATCH($N17,PharmaLogic!$J$4:$J$15,0)),1)*(1+SUMPRODUCT(--ISNUMBER(SEARCH(PharmaLogic!$J$20:$J$41,LOWER($O17&amp;" "&amp;$B17))),PharmaLogic!$M$20:$M$41-1))))</f>
        <v/>
      </c>
      <c r="S17" s="20" t="str">
        <f aca="false">IF($A17="","",MIN(1.6,IFERROR(INDEX(PharmaLogic!$N$4:$N$15,MATCH($N17,PharmaLogic!$J$4:$J$15,0)),1)*(1+SUMPRODUCT(--ISNUMBER(SEARCH(PharmaLogic!$J$20:$J$41,LOWER($O17&amp;" "&amp;$B17))),PharmaLogic!$N$20:$N$41-1))))</f>
        <v/>
      </c>
      <c r="T17" s="20" t="str">
        <f aca="false">IF($A17="","",MIN(1.6,IFERROR(INDEX(PharmaLogic!$O$4:$O$15,MATCH($N17,PharmaLogic!$J$4:$J$15,0)),1)*(1+SUMPRODUCT(--ISNUMBER(SEARCH(PharmaLogic!$J$20:$J$41,LOWER($O17&amp;" "&amp;$B17))),PharmaLogic!$O$20:$O$41-1))))</f>
        <v/>
      </c>
      <c r="U17" s="20" t="str">
        <f aca="false">IF($A17="","",MIN(1.6,IFERROR(INDEX(PharmaLogic!$P$4:$P$15,MATCH($N17,PharmaLogic!$J$4:$J$15,0)),1)*(1+SUMPRODUCT(--ISNUMBER(SEARCH(PharmaLogic!$J$20:$J$41,LOWER($O17&amp;" "&amp;$B17))),PharmaLogic!$P$20:$P$41-1))))</f>
        <v/>
      </c>
    </row>
    <row r="18" customFormat="false" ht="15" hidden="false" customHeight="true" outlineLevel="0" collapsed="false">
      <c r="A18" s="17" t="str">
        <f aca="false">SignalRegister!A18</f>
        <v/>
      </c>
      <c r="B18" s="17" t="str">
        <f aca="false">SignalRegister!D18</f>
        <v/>
      </c>
      <c r="C18" s="17" t="str">
        <f aca="false">SignalRegister!F18</f>
        <v/>
      </c>
      <c r="D18" s="17" t="str">
        <f aca="false">SignalRegister!G18</f>
        <v/>
      </c>
      <c r="E18" s="17" t="str">
        <f aca="false">SignalRegister!H18</f>
        <v/>
      </c>
      <c r="F18" s="17" t="str">
        <f aca="false">SignalRegister!I18</f>
        <v/>
      </c>
      <c r="G18" s="20" t="str">
        <f aca="false">IF($A18="","",IF($C18="Positive",1,-1)*((N($D18)+N($E18))/(2*5))*IF($C18="Positive",Actors!$C$4,Actors!$D$4)*Actors!$E$4*$P18)</f>
        <v/>
      </c>
      <c r="H18" s="20" t="str">
        <f aca="false">IF($A18="","",IF($C18="Positive",1,-1)*((N($D18)+N($E18))/(2*5))*IF($C18="Positive",Actors!$C$5,Actors!$D$5)*Actors!$E$5*$Q18)</f>
        <v/>
      </c>
      <c r="I18" s="20" t="str">
        <f aca="false">IF($A18="","",IF($C18="Positive",1,-1)*((N($D18)+N($E18))/(2*5))*IF($C18="Positive",Actors!$C$6,Actors!$D$6)*Actors!$E$6*$R18)</f>
        <v/>
      </c>
      <c r="J18" s="20" t="str">
        <f aca="false">IF($A18="","",IF($C18="Positive",1,-1)*((N($D18)+N($E18))/(2*5))*IF($C18="Positive",Actors!$C$7,Actors!$D$7)*Actors!$E$7*$S18)</f>
        <v/>
      </c>
      <c r="K18" s="20" t="str">
        <f aca="false">IF($A18="","",IF($C18="Positive",1,-1)*((N($D18)+N($E18))/(2*5))*IF($C18="Positive",Actors!$C$8,Actors!$D$8)*Actors!$E$8*$T18)</f>
        <v/>
      </c>
      <c r="L18" s="20" t="str">
        <f aca="false">IF($A18="","",IF($C18="Positive",1,-1)*((N($D18)+N($E18))/(2*5))*IF($C18="Positive",Actors!$C$9,Actors!$D$9)*Actors!$E$9*$U18)</f>
        <v/>
      </c>
      <c r="M18" s="20" t="str">
        <f aca="false">IF(A18="","",G18*Actors!$B$4+H18*Actors!$B$5+I18*Actors!$B$6+J18*Actors!$B$7+K18*Actors!$B$8+L18*Actors!$B$9)</f>
        <v/>
      </c>
      <c r="N18" s="17" t="str">
        <f aca="false">SignalRegister!E18</f>
        <v/>
      </c>
      <c r="O18" s="17" t="str">
        <f aca="false">SignalRegister!K18</f>
        <v/>
      </c>
      <c r="P18" s="20" t="str">
        <f aca="false">IF($A18="","",MIN(1.6,IFERROR(INDEX(PharmaLogic!$K$4:$K$15,MATCH($N18,PharmaLogic!$J$4:$J$15,0)),1)*(1+SUMPRODUCT(--ISNUMBER(SEARCH(PharmaLogic!$J$20:$J$41,LOWER($O18&amp;" "&amp;$B18))),PharmaLogic!$K$20:$K$41-1))))</f>
        <v/>
      </c>
      <c r="Q18" s="20" t="str">
        <f aca="false">IF($A18="","",MIN(1.6,IFERROR(INDEX(PharmaLogic!$L$4:$L$15,MATCH($N18,PharmaLogic!$J$4:$J$15,0)),1)*(1+SUMPRODUCT(--ISNUMBER(SEARCH(PharmaLogic!$J$20:$J$41,LOWER($O18&amp;" "&amp;$B18))),PharmaLogic!$L$20:$L$41-1))))</f>
        <v/>
      </c>
      <c r="R18" s="20" t="str">
        <f aca="false">IF($A18="","",MIN(1.6,IFERROR(INDEX(PharmaLogic!$M$4:$M$15,MATCH($N18,PharmaLogic!$J$4:$J$15,0)),1)*(1+SUMPRODUCT(--ISNUMBER(SEARCH(PharmaLogic!$J$20:$J$41,LOWER($O18&amp;" "&amp;$B18))),PharmaLogic!$M$20:$M$41-1))))</f>
        <v/>
      </c>
      <c r="S18" s="20" t="str">
        <f aca="false">IF($A18="","",MIN(1.6,IFERROR(INDEX(PharmaLogic!$N$4:$N$15,MATCH($N18,PharmaLogic!$J$4:$J$15,0)),1)*(1+SUMPRODUCT(--ISNUMBER(SEARCH(PharmaLogic!$J$20:$J$41,LOWER($O18&amp;" "&amp;$B18))),PharmaLogic!$N$20:$N$41-1))))</f>
        <v/>
      </c>
      <c r="T18" s="20" t="str">
        <f aca="false">IF($A18="","",MIN(1.6,IFERROR(INDEX(PharmaLogic!$O$4:$O$15,MATCH($N18,PharmaLogic!$J$4:$J$15,0)),1)*(1+SUMPRODUCT(--ISNUMBER(SEARCH(PharmaLogic!$J$20:$J$41,LOWER($O18&amp;" "&amp;$B18))),PharmaLogic!$O$20:$O$41-1))))</f>
        <v/>
      </c>
      <c r="U18" s="20" t="str">
        <f aca="false">IF($A18="","",MIN(1.6,IFERROR(INDEX(PharmaLogic!$P$4:$P$15,MATCH($N18,PharmaLogic!$J$4:$J$15,0)),1)*(1+SUMPRODUCT(--ISNUMBER(SEARCH(PharmaLogic!$J$20:$J$41,LOWER($O18&amp;" "&amp;$B18))),PharmaLogic!$P$20:$P$41-1))))</f>
        <v/>
      </c>
    </row>
    <row r="19" customFormat="false" ht="15" hidden="false" customHeight="true" outlineLevel="0" collapsed="false">
      <c r="A19" s="17" t="str">
        <f aca="false">SignalRegister!A19</f>
        <v/>
      </c>
      <c r="B19" s="17" t="str">
        <f aca="false">SignalRegister!D19</f>
        <v/>
      </c>
      <c r="C19" s="17" t="str">
        <f aca="false">SignalRegister!F19</f>
        <v/>
      </c>
      <c r="D19" s="17" t="str">
        <f aca="false">SignalRegister!G19</f>
        <v/>
      </c>
      <c r="E19" s="17" t="str">
        <f aca="false">SignalRegister!H19</f>
        <v/>
      </c>
      <c r="F19" s="17" t="str">
        <f aca="false">SignalRegister!I19</f>
        <v/>
      </c>
      <c r="G19" s="20" t="str">
        <f aca="false">IF($A19="","",IF($C19="Positive",1,-1)*((N($D19)+N($E19))/(2*5))*IF($C19="Positive",Actors!$C$4,Actors!$D$4)*Actors!$E$4*$P19)</f>
        <v/>
      </c>
      <c r="H19" s="20" t="str">
        <f aca="false">IF($A19="","",IF($C19="Positive",1,-1)*((N($D19)+N($E19))/(2*5))*IF($C19="Positive",Actors!$C$5,Actors!$D$5)*Actors!$E$5*$Q19)</f>
        <v/>
      </c>
      <c r="I19" s="20" t="str">
        <f aca="false">IF($A19="","",IF($C19="Positive",1,-1)*((N($D19)+N($E19))/(2*5))*IF($C19="Positive",Actors!$C$6,Actors!$D$6)*Actors!$E$6*$R19)</f>
        <v/>
      </c>
      <c r="J19" s="20" t="str">
        <f aca="false">IF($A19="","",IF($C19="Positive",1,-1)*((N($D19)+N($E19))/(2*5))*IF($C19="Positive",Actors!$C$7,Actors!$D$7)*Actors!$E$7*$S19)</f>
        <v/>
      </c>
      <c r="K19" s="20" t="str">
        <f aca="false">IF($A19="","",IF($C19="Positive",1,-1)*((N($D19)+N($E19))/(2*5))*IF($C19="Positive",Actors!$C$8,Actors!$D$8)*Actors!$E$8*$T19)</f>
        <v/>
      </c>
      <c r="L19" s="20" t="str">
        <f aca="false">IF($A19="","",IF($C19="Positive",1,-1)*((N($D19)+N($E19))/(2*5))*IF($C19="Positive",Actors!$C$9,Actors!$D$9)*Actors!$E$9*$U19)</f>
        <v/>
      </c>
      <c r="M19" s="20" t="str">
        <f aca="false">IF(A19="","",G19*Actors!$B$4+H19*Actors!$B$5+I19*Actors!$B$6+J19*Actors!$B$7+K19*Actors!$B$8+L19*Actors!$B$9)</f>
        <v/>
      </c>
      <c r="N19" s="17" t="str">
        <f aca="false">SignalRegister!E19</f>
        <v/>
      </c>
      <c r="O19" s="17" t="str">
        <f aca="false">SignalRegister!K19</f>
        <v/>
      </c>
      <c r="P19" s="20" t="str">
        <f aca="false">IF($A19="","",MIN(1.6,IFERROR(INDEX(PharmaLogic!$K$4:$K$15,MATCH($N19,PharmaLogic!$J$4:$J$15,0)),1)*(1+SUMPRODUCT(--ISNUMBER(SEARCH(PharmaLogic!$J$20:$J$41,LOWER($O19&amp;" "&amp;$B19))),PharmaLogic!$K$20:$K$41-1))))</f>
        <v/>
      </c>
      <c r="Q19" s="20" t="str">
        <f aca="false">IF($A19="","",MIN(1.6,IFERROR(INDEX(PharmaLogic!$L$4:$L$15,MATCH($N19,PharmaLogic!$J$4:$J$15,0)),1)*(1+SUMPRODUCT(--ISNUMBER(SEARCH(PharmaLogic!$J$20:$J$41,LOWER($O19&amp;" "&amp;$B19))),PharmaLogic!$L$20:$L$41-1))))</f>
        <v/>
      </c>
      <c r="R19" s="20" t="str">
        <f aca="false">IF($A19="","",MIN(1.6,IFERROR(INDEX(PharmaLogic!$M$4:$M$15,MATCH($N19,PharmaLogic!$J$4:$J$15,0)),1)*(1+SUMPRODUCT(--ISNUMBER(SEARCH(PharmaLogic!$J$20:$J$41,LOWER($O19&amp;" "&amp;$B19))),PharmaLogic!$M$20:$M$41-1))))</f>
        <v/>
      </c>
      <c r="S19" s="20" t="str">
        <f aca="false">IF($A19="","",MIN(1.6,IFERROR(INDEX(PharmaLogic!$N$4:$N$15,MATCH($N19,PharmaLogic!$J$4:$J$15,0)),1)*(1+SUMPRODUCT(--ISNUMBER(SEARCH(PharmaLogic!$J$20:$J$41,LOWER($O19&amp;" "&amp;$B19))),PharmaLogic!$N$20:$N$41-1))))</f>
        <v/>
      </c>
      <c r="T19" s="20" t="str">
        <f aca="false">IF($A19="","",MIN(1.6,IFERROR(INDEX(PharmaLogic!$O$4:$O$15,MATCH($N19,PharmaLogic!$J$4:$J$15,0)),1)*(1+SUMPRODUCT(--ISNUMBER(SEARCH(PharmaLogic!$J$20:$J$41,LOWER($O19&amp;" "&amp;$B19))),PharmaLogic!$O$20:$O$41-1))))</f>
        <v/>
      </c>
      <c r="U19" s="20" t="str">
        <f aca="false">IF($A19="","",MIN(1.6,IFERROR(INDEX(PharmaLogic!$P$4:$P$15,MATCH($N19,PharmaLogic!$J$4:$J$15,0)),1)*(1+SUMPRODUCT(--ISNUMBER(SEARCH(PharmaLogic!$J$20:$J$41,LOWER($O19&amp;" "&amp;$B19))),PharmaLogic!$P$20:$P$41-1))))</f>
        <v/>
      </c>
    </row>
    <row r="20" customFormat="false" ht="15" hidden="false" customHeight="true" outlineLevel="0" collapsed="false">
      <c r="A20" s="17" t="str">
        <f aca="false">SignalRegister!A20</f>
        <v/>
      </c>
      <c r="B20" s="17" t="str">
        <f aca="false">SignalRegister!D20</f>
        <v/>
      </c>
      <c r="C20" s="17" t="str">
        <f aca="false">SignalRegister!F20</f>
        <v/>
      </c>
      <c r="D20" s="17" t="str">
        <f aca="false">SignalRegister!G20</f>
        <v/>
      </c>
      <c r="E20" s="17" t="str">
        <f aca="false">SignalRegister!H20</f>
        <v/>
      </c>
      <c r="F20" s="17" t="str">
        <f aca="false">SignalRegister!I20</f>
        <v/>
      </c>
      <c r="G20" s="20" t="str">
        <f aca="false">IF($A20="","",IF($C20="Positive",1,-1)*((N($D20)+N($E20))/(2*5))*IF($C20="Positive",Actors!$C$4,Actors!$D$4)*Actors!$E$4*$P20)</f>
        <v/>
      </c>
      <c r="H20" s="20" t="str">
        <f aca="false">IF($A20="","",IF($C20="Positive",1,-1)*((N($D20)+N($E20))/(2*5))*IF($C20="Positive",Actors!$C$5,Actors!$D$5)*Actors!$E$5*$Q20)</f>
        <v/>
      </c>
      <c r="I20" s="20" t="str">
        <f aca="false">IF($A20="","",IF($C20="Positive",1,-1)*((N($D20)+N($E20))/(2*5))*IF($C20="Positive",Actors!$C$6,Actors!$D$6)*Actors!$E$6*$R20)</f>
        <v/>
      </c>
      <c r="J20" s="20" t="str">
        <f aca="false">IF($A20="","",IF($C20="Positive",1,-1)*((N($D20)+N($E20))/(2*5))*IF($C20="Positive",Actors!$C$7,Actors!$D$7)*Actors!$E$7*$S20)</f>
        <v/>
      </c>
      <c r="K20" s="20" t="str">
        <f aca="false">IF($A20="","",IF($C20="Positive",1,-1)*((N($D20)+N($E20))/(2*5))*IF($C20="Positive",Actors!$C$8,Actors!$D$8)*Actors!$E$8*$T20)</f>
        <v/>
      </c>
      <c r="L20" s="20" t="str">
        <f aca="false">IF($A20="","",IF($C20="Positive",1,-1)*((N($D20)+N($E20))/(2*5))*IF($C20="Positive",Actors!$C$9,Actors!$D$9)*Actors!$E$9*$U20)</f>
        <v/>
      </c>
      <c r="M20" s="20" t="str">
        <f aca="false">IF(A20="","",G20*Actors!$B$4+H20*Actors!$B$5+I20*Actors!$B$6+J20*Actors!$B$7+K20*Actors!$B$8+L20*Actors!$B$9)</f>
        <v/>
      </c>
      <c r="N20" s="17" t="str">
        <f aca="false">SignalRegister!E20</f>
        <v/>
      </c>
      <c r="O20" s="17" t="str">
        <f aca="false">SignalRegister!K20</f>
        <v/>
      </c>
      <c r="P20" s="20" t="str">
        <f aca="false">IF($A20="","",MIN(1.6,IFERROR(INDEX(PharmaLogic!$K$4:$K$15,MATCH($N20,PharmaLogic!$J$4:$J$15,0)),1)*(1+SUMPRODUCT(--ISNUMBER(SEARCH(PharmaLogic!$J$20:$J$41,LOWER($O20&amp;" "&amp;$B20))),PharmaLogic!$K$20:$K$41-1))))</f>
        <v/>
      </c>
      <c r="Q20" s="20" t="str">
        <f aca="false">IF($A20="","",MIN(1.6,IFERROR(INDEX(PharmaLogic!$L$4:$L$15,MATCH($N20,PharmaLogic!$J$4:$J$15,0)),1)*(1+SUMPRODUCT(--ISNUMBER(SEARCH(PharmaLogic!$J$20:$J$41,LOWER($O20&amp;" "&amp;$B20))),PharmaLogic!$L$20:$L$41-1))))</f>
        <v/>
      </c>
      <c r="R20" s="20" t="str">
        <f aca="false">IF($A20="","",MIN(1.6,IFERROR(INDEX(PharmaLogic!$M$4:$M$15,MATCH($N20,PharmaLogic!$J$4:$J$15,0)),1)*(1+SUMPRODUCT(--ISNUMBER(SEARCH(PharmaLogic!$J$20:$J$41,LOWER($O20&amp;" "&amp;$B20))),PharmaLogic!$M$20:$M$41-1))))</f>
        <v/>
      </c>
      <c r="S20" s="20" t="str">
        <f aca="false">IF($A20="","",MIN(1.6,IFERROR(INDEX(PharmaLogic!$N$4:$N$15,MATCH($N20,PharmaLogic!$J$4:$J$15,0)),1)*(1+SUMPRODUCT(--ISNUMBER(SEARCH(PharmaLogic!$J$20:$J$41,LOWER($O20&amp;" "&amp;$B20))),PharmaLogic!$N$20:$N$41-1))))</f>
        <v/>
      </c>
      <c r="T20" s="20" t="str">
        <f aca="false">IF($A20="","",MIN(1.6,IFERROR(INDEX(PharmaLogic!$O$4:$O$15,MATCH($N20,PharmaLogic!$J$4:$J$15,0)),1)*(1+SUMPRODUCT(--ISNUMBER(SEARCH(PharmaLogic!$J$20:$J$41,LOWER($O20&amp;" "&amp;$B20))),PharmaLogic!$O$20:$O$41-1))))</f>
        <v/>
      </c>
      <c r="U20" s="20" t="str">
        <f aca="false">IF($A20="","",MIN(1.6,IFERROR(INDEX(PharmaLogic!$P$4:$P$15,MATCH($N20,PharmaLogic!$J$4:$J$15,0)),1)*(1+SUMPRODUCT(--ISNUMBER(SEARCH(PharmaLogic!$J$20:$J$41,LOWER($O20&amp;" "&amp;$B20))),PharmaLogic!$P$20:$P$41-1))))</f>
        <v/>
      </c>
    </row>
    <row r="21" customFormat="false" ht="15" hidden="false" customHeight="true" outlineLevel="0" collapsed="false">
      <c r="A21" s="17" t="str">
        <f aca="false">SignalRegister!A21</f>
        <v/>
      </c>
      <c r="B21" s="17" t="str">
        <f aca="false">SignalRegister!D21</f>
        <v/>
      </c>
      <c r="C21" s="17" t="str">
        <f aca="false">SignalRegister!F21</f>
        <v/>
      </c>
      <c r="D21" s="17" t="str">
        <f aca="false">SignalRegister!G21</f>
        <v/>
      </c>
      <c r="E21" s="17" t="str">
        <f aca="false">SignalRegister!H21</f>
        <v/>
      </c>
      <c r="F21" s="17" t="str">
        <f aca="false">SignalRegister!I21</f>
        <v/>
      </c>
      <c r="G21" s="20" t="str">
        <f aca="false">IF($A21="","",IF($C21="Positive",1,-1)*((N($D21)+N($E21))/(2*5))*IF($C21="Positive",Actors!$C$4,Actors!$D$4)*Actors!$E$4*$P21)</f>
        <v/>
      </c>
      <c r="H21" s="20" t="str">
        <f aca="false">IF($A21="","",IF($C21="Positive",1,-1)*((N($D21)+N($E21))/(2*5))*IF($C21="Positive",Actors!$C$5,Actors!$D$5)*Actors!$E$5*$Q21)</f>
        <v/>
      </c>
      <c r="I21" s="20" t="str">
        <f aca="false">IF($A21="","",IF($C21="Positive",1,-1)*((N($D21)+N($E21))/(2*5))*IF($C21="Positive",Actors!$C$6,Actors!$D$6)*Actors!$E$6*$R21)</f>
        <v/>
      </c>
      <c r="J21" s="20" t="str">
        <f aca="false">IF($A21="","",IF($C21="Positive",1,-1)*((N($D21)+N($E21))/(2*5))*IF($C21="Positive",Actors!$C$7,Actors!$D$7)*Actors!$E$7*$S21)</f>
        <v/>
      </c>
      <c r="K21" s="20" t="str">
        <f aca="false">IF($A21="","",IF($C21="Positive",1,-1)*((N($D21)+N($E21))/(2*5))*IF($C21="Positive",Actors!$C$8,Actors!$D$8)*Actors!$E$8*$T21)</f>
        <v/>
      </c>
      <c r="L21" s="20" t="str">
        <f aca="false">IF($A21="","",IF($C21="Positive",1,-1)*((N($D21)+N($E21))/(2*5))*IF($C21="Positive",Actors!$C$9,Actors!$D$9)*Actors!$E$9*$U21)</f>
        <v/>
      </c>
      <c r="M21" s="20" t="str">
        <f aca="false">IF(A21="","",G21*Actors!$B$4+H21*Actors!$B$5+I21*Actors!$B$6+J21*Actors!$B$7+K21*Actors!$B$8+L21*Actors!$B$9)</f>
        <v/>
      </c>
      <c r="N21" s="17" t="str">
        <f aca="false">SignalRegister!E21</f>
        <v/>
      </c>
      <c r="O21" s="17" t="str">
        <f aca="false">SignalRegister!K21</f>
        <v/>
      </c>
      <c r="P21" s="20" t="str">
        <f aca="false">IF($A21="","",MIN(1.6,IFERROR(INDEX(PharmaLogic!$K$4:$K$15,MATCH($N21,PharmaLogic!$J$4:$J$15,0)),1)*(1+SUMPRODUCT(--ISNUMBER(SEARCH(PharmaLogic!$J$20:$J$41,LOWER($O21&amp;" "&amp;$B21))),PharmaLogic!$K$20:$K$41-1))))</f>
        <v/>
      </c>
      <c r="Q21" s="20" t="str">
        <f aca="false">IF($A21="","",MIN(1.6,IFERROR(INDEX(PharmaLogic!$L$4:$L$15,MATCH($N21,PharmaLogic!$J$4:$J$15,0)),1)*(1+SUMPRODUCT(--ISNUMBER(SEARCH(PharmaLogic!$J$20:$J$41,LOWER($O21&amp;" "&amp;$B21))),PharmaLogic!$L$20:$L$41-1))))</f>
        <v/>
      </c>
      <c r="R21" s="20" t="str">
        <f aca="false">IF($A21="","",MIN(1.6,IFERROR(INDEX(PharmaLogic!$M$4:$M$15,MATCH($N21,PharmaLogic!$J$4:$J$15,0)),1)*(1+SUMPRODUCT(--ISNUMBER(SEARCH(PharmaLogic!$J$20:$J$41,LOWER($O21&amp;" "&amp;$B21))),PharmaLogic!$M$20:$M$41-1))))</f>
        <v/>
      </c>
      <c r="S21" s="20" t="str">
        <f aca="false">IF($A21="","",MIN(1.6,IFERROR(INDEX(PharmaLogic!$N$4:$N$15,MATCH($N21,PharmaLogic!$J$4:$J$15,0)),1)*(1+SUMPRODUCT(--ISNUMBER(SEARCH(PharmaLogic!$J$20:$J$41,LOWER($O21&amp;" "&amp;$B21))),PharmaLogic!$N$20:$N$41-1))))</f>
        <v/>
      </c>
      <c r="T21" s="20" t="str">
        <f aca="false">IF($A21="","",MIN(1.6,IFERROR(INDEX(PharmaLogic!$O$4:$O$15,MATCH($N21,PharmaLogic!$J$4:$J$15,0)),1)*(1+SUMPRODUCT(--ISNUMBER(SEARCH(PharmaLogic!$J$20:$J$41,LOWER($O21&amp;" "&amp;$B21))),PharmaLogic!$O$20:$O$41-1))))</f>
        <v/>
      </c>
      <c r="U21" s="20" t="str">
        <f aca="false">IF($A21="","",MIN(1.6,IFERROR(INDEX(PharmaLogic!$P$4:$P$15,MATCH($N21,PharmaLogic!$J$4:$J$15,0)),1)*(1+SUMPRODUCT(--ISNUMBER(SEARCH(PharmaLogic!$J$20:$J$41,LOWER($O21&amp;" "&amp;$B21))),PharmaLogic!$P$20:$P$41-1))))</f>
        <v/>
      </c>
    </row>
    <row r="22" customFormat="false" ht="15" hidden="false" customHeight="true" outlineLevel="0" collapsed="false">
      <c r="A22" s="17" t="str">
        <f aca="false">SignalRegister!A22</f>
        <v/>
      </c>
      <c r="B22" s="17" t="str">
        <f aca="false">SignalRegister!D22</f>
        <v/>
      </c>
      <c r="C22" s="17" t="str">
        <f aca="false">SignalRegister!F22</f>
        <v/>
      </c>
      <c r="D22" s="17" t="str">
        <f aca="false">SignalRegister!G22</f>
        <v/>
      </c>
      <c r="E22" s="17" t="str">
        <f aca="false">SignalRegister!H22</f>
        <v/>
      </c>
      <c r="F22" s="17" t="str">
        <f aca="false">SignalRegister!I22</f>
        <v/>
      </c>
      <c r="G22" s="20" t="str">
        <f aca="false">IF($A22="","",IF($C22="Positive",1,-1)*((N($D22)+N($E22))/(2*5))*IF($C22="Positive",Actors!$C$4,Actors!$D$4)*Actors!$E$4*$P22)</f>
        <v/>
      </c>
      <c r="H22" s="20" t="str">
        <f aca="false">IF($A22="","",IF($C22="Positive",1,-1)*((N($D22)+N($E22))/(2*5))*IF($C22="Positive",Actors!$C$5,Actors!$D$5)*Actors!$E$5*$Q22)</f>
        <v/>
      </c>
      <c r="I22" s="20" t="str">
        <f aca="false">IF($A22="","",IF($C22="Positive",1,-1)*((N($D22)+N($E22))/(2*5))*IF($C22="Positive",Actors!$C$6,Actors!$D$6)*Actors!$E$6*$R22)</f>
        <v/>
      </c>
      <c r="J22" s="20" t="str">
        <f aca="false">IF($A22="","",IF($C22="Positive",1,-1)*((N($D22)+N($E22))/(2*5))*IF($C22="Positive",Actors!$C$7,Actors!$D$7)*Actors!$E$7*$S22)</f>
        <v/>
      </c>
      <c r="K22" s="20" t="str">
        <f aca="false">IF($A22="","",IF($C22="Positive",1,-1)*((N($D22)+N($E22))/(2*5))*IF($C22="Positive",Actors!$C$8,Actors!$D$8)*Actors!$E$8*$T22)</f>
        <v/>
      </c>
      <c r="L22" s="20" t="str">
        <f aca="false">IF($A22="","",IF($C22="Positive",1,-1)*((N($D22)+N($E22))/(2*5))*IF($C22="Positive",Actors!$C$9,Actors!$D$9)*Actors!$E$9*$U22)</f>
        <v/>
      </c>
      <c r="M22" s="20" t="str">
        <f aca="false">IF(A22="","",G22*Actors!$B$4+H22*Actors!$B$5+I22*Actors!$B$6+J22*Actors!$B$7+K22*Actors!$B$8+L22*Actors!$B$9)</f>
        <v/>
      </c>
      <c r="N22" s="17" t="str">
        <f aca="false">SignalRegister!E22</f>
        <v/>
      </c>
      <c r="O22" s="17" t="str">
        <f aca="false">SignalRegister!K22</f>
        <v/>
      </c>
      <c r="P22" s="20" t="str">
        <f aca="false">IF($A22="","",MIN(1.6,IFERROR(INDEX(PharmaLogic!$K$4:$K$15,MATCH($N22,PharmaLogic!$J$4:$J$15,0)),1)*(1+SUMPRODUCT(--ISNUMBER(SEARCH(PharmaLogic!$J$20:$J$41,LOWER($O22&amp;" "&amp;$B22))),PharmaLogic!$K$20:$K$41-1))))</f>
        <v/>
      </c>
      <c r="Q22" s="20" t="str">
        <f aca="false">IF($A22="","",MIN(1.6,IFERROR(INDEX(PharmaLogic!$L$4:$L$15,MATCH($N22,PharmaLogic!$J$4:$J$15,0)),1)*(1+SUMPRODUCT(--ISNUMBER(SEARCH(PharmaLogic!$J$20:$J$41,LOWER($O22&amp;" "&amp;$B22))),PharmaLogic!$L$20:$L$41-1))))</f>
        <v/>
      </c>
      <c r="R22" s="20" t="str">
        <f aca="false">IF($A22="","",MIN(1.6,IFERROR(INDEX(PharmaLogic!$M$4:$M$15,MATCH($N22,PharmaLogic!$J$4:$J$15,0)),1)*(1+SUMPRODUCT(--ISNUMBER(SEARCH(PharmaLogic!$J$20:$J$41,LOWER($O22&amp;" "&amp;$B22))),PharmaLogic!$M$20:$M$41-1))))</f>
        <v/>
      </c>
      <c r="S22" s="20" t="str">
        <f aca="false">IF($A22="","",MIN(1.6,IFERROR(INDEX(PharmaLogic!$N$4:$N$15,MATCH($N22,PharmaLogic!$J$4:$J$15,0)),1)*(1+SUMPRODUCT(--ISNUMBER(SEARCH(PharmaLogic!$J$20:$J$41,LOWER($O22&amp;" "&amp;$B22))),PharmaLogic!$N$20:$N$41-1))))</f>
        <v/>
      </c>
      <c r="T22" s="20" t="str">
        <f aca="false">IF($A22="","",MIN(1.6,IFERROR(INDEX(PharmaLogic!$O$4:$O$15,MATCH($N22,PharmaLogic!$J$4:$J$15,0)),1)*(1+SUMPRODUCT(--ISNUMBER(SEARCH(PharmaLogic!$J$20:$J$41,LOWER($O22&amp;" "&amp;$B22))),PharmaLogic!$O$20:$O$41-1))))</f>
        <v/>
      </c>
      <c r="U22" s="20" t="str">
        <f aca="false">IF($A22="","",MIN(1.6,IFERROR(INDEX(PharmaLogic!$P$4:$P$15,MATCH($N22,PharmaLogic!$J$4:$J$15,0)),1)*(1+SUMPRODUCT(--ISNUMBER(SEARCH(PharmaLogic!$J$20:$J$41,LOWER($O22&amp;" "&amp;$B22))),PharmaLogic!$P$20:$P$41-1))))</f>
        <v/>
      </c>
    </row>
    <row r="23" customFormat="false" ht="15" hidden="false" customHeight="true" outlineLevel="0" collapsed="false">
      <c r="A23" s="17" t="str">
        <f aca="false">SignalRegister!A23</f>
        <v/>
      </c>
      <c r="B23" s="17" t="str">
        <f aca="false">SignalRegister!D23</f>
        <v/>
      </c>
      <c r="C23" s="17" t="str">
        <f aca="false">SignalRegister!F23</f>
        <v/>
      </c>
      <c r="D23" s="17" t="str">
        <f aca="false">SignalRegister!G23</f>
        <v/>
      </c>
      <c r="E23" s="17" t="str">
        <f aca="false">SignalRegister!H23</f>
        <v/>
      </c>
      <c r="F23" s="17" t="str">
        <f aca="false">SignalRegister!I23</f>
        <v/>
      </c>
      <c r="G23" s="20" t="str">
        <f aca="false">IF($A23="","",IF($C23="Positive",1,-1)*((N($D23)+N($E23))/(2*5))*IF($C23="Positive",Actors!$C$4,Actors!$D$4)*Actors!$E$4*$P23)</f>
        <v/>
      </c>
      <c r="H23" s="20" t="str">
        <f aca="false">IF($A23="","",IF($C23="Positive",1,-1)*((N($D23)+N($E23))/(2*5))*IF($C23="Positive",Actors!$C$5,Actors!$D$5)*Actors!$E$5*$Q23)</f>
        <v/>
      </c>
      <c r="I23" s="20" t="str">
        <f aca="false">IF($A23="","",IF($C23="Positive",1,-1)*((N($D23)+N($E23))/(2*5))*IF($C23="Positive",Actors!$C$6,Actors!$D$6)*Actors!$E$6*$R23)</f>
        <v/>
      </c>
      <c r="J23" s="20" t="str">
        <f aca="false">IF($A23="","",IF($C23="Positive",1,-1)*((N($D23)+N($E23))/(2*5))*IF($C23="Positive",Actors!$C$7,Actors!$D$7)*Actors!$E$7*$S23)</f>
        <v/>
      </c>
      <c r="K23" s="20" t="str">
        <f aca="false">IF($A23="","",IF($C23="Positive",1,-1)*((N($D23)+N($E23))/(2*5))*IF($C23="Positive",Actors!$C$8,Actors!$D$8)*Actors!$E$8*$T23)</f>
        <v/>
      </c>
      <c r="L23" s="20" t="str">
        <f aca="false">IF($A23="","",IF($C23="Positive",1,-1)*((N($D23)+N($E23))/(2*5))*IF($C23="Positive",Actors!$C$9,Actors!$D$9)*Actors!$E$9*$U23)</f>
        <v/>
      </c>
      <c r="M23" s="20" t="str">
        <f aca="false">IF(A23="","",G23*Actors!$B$4+H23*Actors!$B$5+I23*Actors!$B$6+J23*Actors!$B$7+K23*Actors!$B$8+L23*Actors!$B$9)</f>
        <v/>
      </c>
      <c r="N23" s="17" t="str">
        <f aca="false">SignalRegister!E23</f>
        <v/>
      </c>
      <c r="O23" s="17" t="str">
        <f aca="false">SignalRegister!K23</f>
        <v/>
      </c>
      <c r="P23" s="20" t="str">
        <f aca="false">IF($A23="","",MIN(1.6,IFERROR(INDEX(PharmaLogic!$K$4:$K$15,MATCH($N23,PharmaLogic!$J$4:$J$15,0)),1)*(1+SUMPRODUCT(--ISNUMBER(SEARCH(PharmaLogic!$J$20:$J$41,LOWER($O23&amp;" "&amp;$B23))),PharmaLogic!$K$20:$K$41-1))))</f>
        <v/>
      </c>
      <c r="Q23" s="20" t="str">
        <f aca="false">IF($A23="","",MIN(1.6,IFERROR(INDEX(PharmaLogic!$L$4:$L$15,MATCH($N23,PharmaLogic!$J$4:$J$15,0)),1)*(1+SUMPRODUCT(--ISNUMBER(SEARCH(PharmaLogic!$J$20:$J$41,LOWER($O23&amp;" "&amp;$B23))),PharmaLogic!$L$20:$L$41-1))))</f>
        <v/>
      </c>
      <c r="R23" s="20" t="str">
        <f aca="false">IF($A23="","",MIN(1.6,IFERROR(INDEX(PharmaLogic!$M$4:$M$15,MATCH($N23,PharmaLogic!$J$4:$J$15,0)),1)*(1+SUMPRODUCT(--ISNUMBER(SEARCH(PharmaLogic!$J$20:$J$41,LOWER($O23&amp;" "&amp;$B23))),PharmaLogic!$M$20:$M$41-1))))</f>
        <v/>
      </c>
      <c r="S23" s="20" t="str">
        <f aca="false">IF($A23="","",MIN(1.6,IFERROR(INDEX(PharmaLogic!$N$4:$N$15,MATCH($N23,PharmaLogic!$J$4:$J$15,0)),1)*(1+SUMPRODUCT(--ISNUMBER(SEARCH(PharmaLogic!$J$20:$J$41,LOWER($O23&amp;" "&amp;$B23))),PharmaLogic!$N$20:$N$41-1))))</f>
        <v/>
      </c>
      <c r="T23" s="20" t="str">
        <f aca="false">IF($A23="","",MIN(1.6,IFERROR(INDEX(PharmaLogic!$O$4:$O$15,MATCH($N23,PharmaLogic!$J$4:$J$15,0)),1)*(1+SUMPRODUCT(--ISNUMBER(SEARCH(PharmaLogic!$J$20:$J$41,LOWER($O23&amp;" "&amp;$B23))),PharmaLogic!$O$20:$O$41-1))))</f>
        <v/>
      </c>
      <c r="U23" s="20" t="str">
        <f aca="false">IF($A23="","",MIN(1.6,IFERROR(INDEX(PharmaLogic!$P$4:$P$15,MATCH($N23,PharmaLogic!$J$4:$J$15,0)),1)*(1+SUMPRODUCT(--ISNUMBER(SEARCH(PharmaLogic!$J$20:$J$41,LOWER($O23&amp;" "&amp;$B23))),PharmaLogic!$P$20:$P$41-1))))</f>
        <v/>
      </c>
    </row>
    <row r="24" customFormat="false" ht="15" hidden="false" customHeight="true" outlineLevel="0" collapsed="false">
      <c r="A24" s="17" t="str">
        <f aca="false">SignalRegister!A24</f>
        <v/>
      </c>
      <c r="B24" s="17" t="str">
        <f aca="false">SignalRegister!D24</f>
        <v/>
      </c>
      <c r="C24" s="17" t="str">
        <f aca="false">SignalRegister!F24</f>
        <v/>
      </c>
      <c r="D24" s="17" t="str">
        <f aca="false">SignalRegister!G24</f>
        <v/>
      </c>
      <c r="E24" s="17" t="str">
        <f aca="false">SignalRegister!H24</f>
        <v/>
      </c>
      <c r="F24" s="17" t="str">
        <f aca="false">SignalRegister!I24</f>
        <v/>
      </c>
      <c r="G24" s="20" t="str">
        <f aca="false">IF($A24="","",IF($C24="Positive",1,-1)*((N($D24)+N($E24))/(2*5))*IF($C24="Positive",Actors!$C$4,Actors!$D$4)*Actors!$E$4*$P24)</f>
        <v/>
      </c>
      <c r="H24" s="20" t="str">
        <f aca="false">IF($A24="","",IF($C24="Positive",1,-1)*((N($D24)+N($E24))/(2*5))*IF($C24="Positive",Actors!$C$5,Actors!$D$5)*Actors!$E$5*$Q24)</f>
        <v/>
      </c>
      <c r="I24" s="20" t="str">
        <f aca="false">IF($A24="","",IF($C24="Positive",1,-1)*((N($D24)+N($E24))/(2*5))*IF($C24="Positive",Actors!$C$6,Actors!$D$6)*Actors!$E$6*$R24)</f>
        <v/>
      </c>
      <c r="J24" s="20" t="str">
        <f aca="false">IF($A24="","",IF($C24="Positive",1,-1)*((N($D24)+N($E24))/(2*5))*IF($C24="Positive",Actors!$C$7,Actors!$D$7)*Actors!$E$7*$S24)</f>
        <v/>
      </c>
      <c r="K24" s="20" t="str">
        <f aca="false">IF($A24="","",IF($C24="Positive",1,-1)*((N($D24)+N($E24))/(2*5))*IF($C24="Positive",Actors!$C$8,Actors!$D$8)*Actors!$E$8*$T24)</f>
        <v/>
      </c>
      <c r="L24" s="20" t="str">
        <f aca="false">IF($A24="","",IF($C24="Positive",1,-1)*((N($D24)+N($E24))/(2*5))*IF($C24="Positive",Actors!$C$9,Actors!$D$9)*Actors!$E$9*$U24)</f>
        <v/>
      </c>
      <c r="M24" s="20" t="str">
        <f aca="false">IF(A24="","",G24*Actors!$B$4+H24*Actors!$B$5+I24*Actors!$B$6+J24*Actors!$B$7+K24*Actors!$B$8+L24*Actors!$B$9)</f>
        <v/>
      </c>
      <c r="N24" s="17" t="str">
        <f aca="false">SignalRegister!E24</f>
        <v/>
      </c>
      <c r="O24" s="17" t="str">
        <f aca="false">SignalRegister!K24</f>
        <v/>
      </c>
      <c r="P24" s="20" t="str">
        <f aca="false">IF($A24="","",MIN(1.6,IFERROR(INDEX(PharmaLogic!$K$4:$K$15,MATCH($N24,PharmaLogic!$J$4:$J$15,0)),1)*(1+SUMPRODUCT(--ISNUMBER(SEARCH(PharmaLogic!$J$20:$J$41,LOWER($O24&amp;" "&amp;$B24))),PharmaLogic!$K$20:$K$41-1))))</f>
        <v/>
      </c>
      <c r="Q24" s="20" t="str">
        <f aca="false">IF($A24="","",MIN(1.6,IFERROR(INDEX(PharmaLogic!$L$4:$L$15,MATCH($N24,PharmaLogic!$J$4:$J$15,0)),1)*(1+SUMPRODUCT(--ISNUMBER(SEARCH(PharmaLogic!$J$20:$J$41,LOWER($O24&amp;" "&amp;$B24))),PharmaLogic!$L$20:$L$41-1))))</f>
        <v/>
      </c>
      <c r="R24" s="20" t="str">
        <f aca="false">IF($A24="","",MIN(1.6,IFERROR(INDEX(PharmaLogic!$M$4:$M$15,MATCH($N24,PharmaLogic!$J$4:$J$15,0)),1)*(1+SUMPRODUCT(--ISNUMBER(SEARCH(PharmaLogic!$J$20:$J$41,LOWER($O24&amp;" "&amp;$B24))),PharmaLogic!$M$20:$M$41-1))))</f>
        <v/>
      </c>
      <c r="S24" s="20" t="str">
        <f aca="false">IF($A24="","",MIN(1.6,IFERROR(INDEX(PharmaLogic!$N$4:$N$15,MATCH($N24,PharmaLogic!$J$4:$J$15,0)),1)*(1+SUMPRODUCT(--ISNUMBER(SEARCH(PharmaLogic!$J$20:$J$41,LOWER($O24&amp;" "&amp;$B24))),PharmaLogic!$N$20:$N$41-1))))</f>
        <v/>
      </c>
      <c r="T24" s="20" t="str">
        <f aca="false">IF($A24="","",MIN(1.6,IFERROR(INDEX(PharmaLogic!$O$4:$O$15,MATCH($N24,PharmaLogic!$J$4:$J$15,0)),1)*(1+SUMPRODUCT(--ISNUMBER(SEARCH(PharmaLogic!$J$20:$J$41,LOWER($O24&amp;" "&amp;$B24))),PharmaLogic!$O$20:$O$41-1))))</f>
        <v/>
      </c>
      <c r="U24" s="20" t="str">
        <f aca="false">IF($A24="","",MIN(1.6,IFERROR(INDEX(PharmaLogic!$P$4:$P$15,MATCH($N24,PharmaLogic!$J$4:$J$15,0)),1)*(1+SUMPRODUCT(--ISNUMBER(SEARCH(PharmaLogic!$J$20:$J$41,LOWER($O24&amp;" "&amp;$B24))),PharmaLogic!$P$20:$P$41-1))))</f>
        <v/>
      </c>
    </row>
    <row r="25" customFormat="false" ht="15" hidden="false" customHeight="true" outlineLevel="0" collapsed="false">
      <c r="A25" s="17" t="str">
        <f aca="false">SignalRegister!A25</f>
        <v/>
      </c>
      <c r="B25" s="17" t="str">
        <f aca="false">SignalRegister!D25</f>
        <v/>
      </c>
      <c r="C25" s="17" t="str">
        <f aca="false">SignalRegister!F25</f>
        <v/>
      </c>
      <c r="D25" s="17" t="str">
        <f aca="false">SignalRegister!G25</f>
        <v/>
      </c>
      <c r="E25" s="17" t="str">
        <f aca="false">SignalRegister!H25</f>
        <v/>
      </c>
      <c r="F25" s="17" t="str">
        <f aca="false">SignalRegister!I25</f>
        <v/>
      </c>
      <c r="G25" s="20" t="str">
        <f aca="false">IF($A25="","",IF($C25="Positive",1,-1)*((N($D25)+N($E25))/(2*5))*IF($C25="Positive",Actors!$C$4,Actors!$D$4)*Actors!$E$4*$P25)</f>
        <v/>
      </c>
      <c r="H25" s="20" t="str">
        <f aca="false">IF($A25="","",IF($C25="Positive",1,-1)*((N($D25)+N($E25))/(2*5))*IF($C25="Positive",Actors!$C$5,Actors!$D$5)*Actors!$E$5*$Q25)</f>
        <v/>
      </c>
      <c r="I25" s="20" t="str">
        <f aca="false">IF($A25="","",IF($C25="Positive",1,-1)*((N($D25)+N($E25))/(2*5))*IF($C25="Positive",Actors!$C$6,Actors!$D$6)*Actors!$E$6*$R25)</f>
        <v/>
      </c>
      <c r="J25" s="20" t="str">
        <f aca="false">IF($A25="","",IF($C25="Positive",1,-1)*((N($D25)+N($E25))/(2*5))*IF($C25="Positive",Actors!$C$7,Actors!$D$7)*Actors!$E$7*$S25)</f>
        <v/>
      </c>
      <c r="K25" s="20" t="str">
        <f aca="false">IF($A25="","",IF($C25="Positive",1,-1)*((N($D25)+N($E25))/(2*5))*IF($C25="Positive",Actors!$C$8,Actors!$D$8)*Actors!$E$8*$T25)</f>
        <v/>
      </c>
      <c r="L25" s="20" t="str">
        <f aca="false">IF($A25="","",IF($C25="Positive",1,-1)*((N($D25)+N($E25))/(2*5))*IF($C25="Positive",Actors!$C$9,Actors!$D$9)*Actors!$E$9*$U25)</f>
        <v/>
      </c>
      <c r="M25" s="20" t="str">
        <f aca="false">IF(A25="","",G25*Actors!$B$4+H25*Actors!$B$5+I25*Actors!$B$6+J25*Actors!$B$7+K25*Actors!$B$8+L25*Actors!$B$9)</f>
        <v/>
      </c>
      <c r="N25" s="17" t="str">
        <f aca="false">SignalRegister!E25</f>
        <v/>
      </c>
      <c r="O25" s="17" t="str">
        <f aca="false">SignalRegister!K25</f>
        <v/>
      </c>
      <c r="P25" s="20" t="str">
        <f aca="false">IF($A25="","",MIN(1.6,IFERROR(INDEX(PharmaLogic!$K$4:$K$15,MATCH($N25,PharmaLogic!$J$4:$J$15,0)),1)*(1+SUMPRODUCT(--ISNUMBER(SEARCH(PharmaLogic!$J$20:$J$41,LOWER($O25&amp;" "&amp;$B25))),PharmaLogic!$K$20:$K$41-1))))</f>
        <v/>
      </c>
      <c r="Q25" s="20" t="str">
        <f aca="false">IF($A25="","",MIN(1.6,IFERROR(INDEX(PharmaLogic!$L$4:$L$15,MATCH($N25,PharmaLogic!$J$4:$J$15,0)),1)*(1+SUMPRODUCT(--ISNUMBER(SEARCH(PharmaLogic!$J$20:$J$41,LOWER($O25&amp;" "&amp;$B25))),PharmaLogic!$L$20:$L$41-1))))</f>
        <v/>
      </c>
      <c r="R25" s="20" t="str">
        <f aca="false">IF($A25="","",MIN(1.6,IFERROR(INDEX(PharmaLogic!$M$4:$M$15,MATCH($N25,PharmaLogic!$J$4:$J$15,0)),1)*(1+SUMPRODUCT(--ISNUMBER(SEARCH(PharmaLogic!$J$20:$J$41,LOWER($O25&amp;" "&amp;$B25))),PharmaLogic!$M$20:$M$41-1))))</f>
        <v/>
      </c>
      <c r="S25" s="20" t="str">
        <f aca="false">IF($A25="","",MIN(1.6,IFERROR(INDEX(PharmaLogic!$N$4:$N$15,MATCH($N25,PharmaLogic!$J$4:$J$15,0)),1)*(1+SUMPRODUCT(--ISNUMBER(SEARCH(PharmaLogic!$J$20:$J$41,LOWER($O25&amp;" "&amp;$B25))),PharmaLogic!$N$20:$N$41-1))))</f>
        <v/>
      </c>
      <c r="T25" s="20" t="str">
        <f aca="false">IF($A25="","",MIN(1.6,IFERROR(INDEX(PharmaLogic!$O$4:$O$15,MATCH($N25,PharmaLogic!$J$4:$J$15,0)),1)*(1+SUMPRODUCT(--ISNUMBER(SEARCH(PharmaLogic!$J$20:$J$41,LOWER($O25&amp;" "&amp;$B25))),PharmaLogic!$O$20:$O$41-1))))</f>
        <v/>
      </c>
      <c r="U25" s="20" t="str">
        <f aca="false">IF($A25="","",MIN(1.6,IFERROR(INDEX(PharmaLogic!$P$4:$P$15,MATCH($N25,PharmaLogic!$J$4:$J$15,0)),1)*(1+SUMPRODUCT(--ISNUMBER(SEARCH(PharmaLogic!$J$20:$J$41,LOWER($O25&amp;" "&amp;$B25))),PharmaLogic!$P$20:$P$41-1))))</f>
        <v/>
      </c>
    </row>
    <row r="26" customFormat="false" ht="15" hidden="false" customHeight="true" outlineLevel="0" collapsed="false">
      <c r="A26" s="17" t="str">
        <f aca="false">SignalRegister!A26</f>
        <v/>
      </c>
      <c r="B26" s="17" t="str">
        <f aca="false">SignalRegister!D26</f>
        <v/>
      </c>
      <c r="C26" s="17" t="str">
        <f aca="false">SignalRegister!F26</f>
        <v/>
      </c>
      <c r="D26" s="17" t="str">
        <f aca="false">SignalRegister!G26</f>
        <v/>
      </c>
      <c r="E26" s="17" t="str">
        <f aca="false">SignalRegister!H26</f>
        <v/>
      </c>
      <c r="F26" s="17" t="str">
        <f aca="false">SignalRegister!I26</f>
        <v/>
      </c>
      <c r="G26" s="20" t="str">
        <f aca="false">IF($A26="","",IF($C26="Positive",1,-1)*((N($D26)+N($E26))/(2*5))*IF($C26="Positive",Actors!$C$4,Actors!$D$4)*Actors!$E$4*$P26)</f>
        <v/>
      </c>
      <c r="H26" s="20" t="str">
        <f aca="false">IF($A26="","",IF($C26="Positive",1,-1)*((N($D26)+N($E26))/(2*5))*IF($C26="Positive",Actors!$C$5,Actors!$D$5)*Actors!$E$5*$Q26)</f>
        <v/>
      </c>
      <c r="I26" s="20" t="str">
        <f aca="false">IF($A26="","",IF($C26="Positive",1,-1)*((N($D26)+N($E26))/(2*5))*IF($C26="Positive",Actors!$C$6,Actors!$D$6)*Actors!$E$6*$R26)</f>
        <v/>
      </c>
      <c r="J26" s="20" t="str">
        <f aca="false">IF($A26="","",IF($C26="Positive",1,-1)*((N($D26)+N($E26))/(2*5))*IF($C26="Positive",Actors!$C$7,Actors!$D$7)*Actors!$E$7*$S26)</f>
        <v/>
      </c>
      <c r="K26" s="20" t="str">
        <f aca="false">IF($A26="","",IF($C26="Positive",1,-1)*((N($D26)+N($E26))/(2*5))*IF($C26="Positive",Actors!$C$8,Actors!$D$8)*Actors!$E$8*$T26)</f>
        <v/>
      </c>
      <c r="L26" s="20" t="str">
        <f aca="false">IF($A26="","",IF($C26="Positive",1,-1)*((N($D26)+N($E26))/(2*5))*IF($C26="Positive",Actors!$C$9,Actors!$D$9)*Actors!$E$9*$U26)</f>
        <v/>
      </c>
      <c r="M26" s="20" t="str">
        <f aca="false">IF(A26="","",G26*Actors!$B$4+H26*Actors!$B$5+I26*Actors!$B$6+J26*Actors!$B$7+K26*Actors!$B$8+L26*Actors!$B$9)</f>
        <v/>
      </c>
      <c r="N26" s="17" t="str">
        <f aca="false">SignalRegister!E26</f>
        <v/>
      </c>
      <c r="O26" s="17" t="str">
        <f aca="false">SignalRegister!K26</f>
        <v/>
      </c>
      <c r="P26" s="20" t="str">
        <f aca="false">IF($A26="","",MIN(1.6,IFERROR(INDEX(PharmaLogic!$K$4:$K$15,MATCH($N26,PharmaLogic!$J$4:$J$15,0)),1)*(1+SUMPRODUCT(--ISNUMBER(SEARCH(PharmaLogic!$J$20:$J$41,LOWER($O26&amp;" "&amp;$B26))),PharmaLogic!$K$20:$K$41-1))))</f>
        <v/>
      </c>
      <c r="Q26" s="20" t="str">
        <f aca="false">IF($A26="","",MIN(1.6,IFERROR(INDEX(PharmaLogic!$L$4:$L$15,MATCH($N26,PharmaLogic!$J$4:$J$15,0)),1)*(1+SUMPRODUCT(--ISNUMBER(SEARCH(PharmaLogic!$J$20:$J$41,LOWER($O26&amp;" "&amp;$B26))),PharmaLogic!$L$20:$L$41-1))))</f>
        <v/>
      </c>
      <c r="R26" s="20" t="str">
        <f aca="false">IF($A26="","",MIN(1.6,IFERROR(INDEX(PharmaLogic!$M$4:$M$15,MATCH($N26,PharmaLogic!$J$4:$J$15,0)),1)*(1+SUMPRODUCT(--ISNUMBER(SEARCH(PharmaLogic!$J$20:$J$41,LOWER($O26&amp;" "&amp;$B26))),PharmaLogic!$M$20:$M$41-1))))</f>
        <v/>
      </c>
      <c r="S26" s="20" t="str">
        <f aca="false">IF($A26="","",MIN(1.6,IFERROR(INDEX(PharmaLogic!$N$4:$N$15,MATCH($N26,PharmaLogic!$J$4:$J$15,0)),1)*(1+SUMPRODUCT(--ISNUMBER(SEARCH(PharmaLogic!$J$20:$J$41,LOWER($O26&amp;" "&amp;$B26))),PharmaLogic!$N$20:$N$41-1))))</f>
        <v/>
      </c>
      <c r="T26" s="20" t="str">
        <f aca="false">IF($A26="","",MIN(1.6,IFERROR(INDEX(PharmaLogic!$O$4:$O$15,MATCH($N26,PharmaLogic!$J$4:$J$15,0)),1)*(1+SUMPRODUCT(--ISNUMBER(SEARCH(PharmaLogic!$J$20:$J$41,LOWER($O26&amp;" "&amp;$B26))),PharmaLogic!$O$20:$O$41-1))))</f>
        <v/>
      </c>
      <c r="U26" s="20" t="str">
        <f aca="false">IF($A26="","",MIN(1.6,IFERROR(INDEX(PharmaLogic!$P$4:$P$15,MATCH($N26,PharmaLogic!$J$4:$J$15,0)),1)*(1+SUMPRODUCT(--ISNUMBER(SEARCH(PharmaLogic!$J$20:$J$41,LOWER($O26&amp;" "&amp;$B26))),PharmaLogic!$P$20:$P$41-1))))</f>
        <v/>
      </c>
    </row>
    <row r="27" customFormat="false" ht="15" hidden="false" customHeight="true" outlineLevel="0" collapsed="false">
      <c r="A27" s="17" t="str">
        <f aca="false">SignalRegister!A27</f>
        <v/>
      </c>
      <c r="B27" s="17" t="str">
        <f aca="false">SignalRegister!D27</f>
        <v/>
      </c>
      <c r="C27" s="17" t="str">
        <f aca="false">SignalRegister!F27</f>
        <v/>
      </c>
      <c r="D27" s="17" t="str">
        <f aca="false">SignalRegister!G27</f>
        <v/>
      </c>
      <c r="E27" s="17" t="str">
        <f aca="false">SignalRegister!H27</f>
        <v/>
      </c>
      <c r="F27" s="17" t="str">
        <f aca="false">SignalRegister!I27</f>
        <v/>
      </c>
      <c r="G27" s="20" t="str">
        <f aca="false">IF($A27="","",IF($C27="Positive",1,-1)*((N($D27)+N($E27))/(2*5))*IF($C27="Positive",Actors!$C$4,Actors!$D$4)*Actors!$E$4*$P27)</f>
        <v/>
      </c>
      <c r="H27" s="20" t="str">
        <f aca="false">IF($A27="","",IF($C27="Positive",1,-1)*((N($D27)+N($E27))/(2*5))*IF($C27="Positive",Actors!$C$5,Actors!$D$5)*Actors!$E$5*$Q27)</f>
        <v/>
      </c>
      <c r="I27" s="20" t="str">
        <f aca="false">IF($A27="","",IF($C27="Positive",1,-1)*((N($D27)+N($E27))/(2*5))*IF($C27="Positive",Actors!$C$6,Actors!$D$6)*Actors!$E$6*$R27)</f>
        <v/>
      </c>
      <c r="J27" s="20" t="str">
        <f aca="false">IF($A27="","",IF($C27="Positive",1,-1)*((N($D27)+N($E27))/(2*5))*IF($C27="Positive",Actors!$C$7,Actors!$D$7)*Actors!$E$7*$S27)</f>
        <v/>
      </c>
      <c r="K27" s="20" t="str">
        <f aca="false">IF($A27="","",IF($C27="Positive",1,-1)*((N($D27)+N($E27))/(2*5))*IF($C27="Positive",Actors!$C$8,Actors!$D$8)*Actors!$E$8*$T27)</f>
        <v/>
      </c>
      <c r="L27" s="20" t="str">
        <f aca="false">IF($A27="","",IF($C27="Positive",1,-1)*((N($D27)+N($E27))/(2*5))*IF($C27="Positive",Actors!$C$9,Actors!$D$9)*Actors!$E$9*$U27)</f>
        <v/>
      </c>
      <c r="M27" s="20" t="str">
        <f aca="false">IF(A27="","",G27*Actors!$B$4+H27*Actors!$B$5+I27*Actors!$B$6+J27*Actors!$B$7+K27*Actors!$B$8+L27*Actors!$B$9)</f>
        <v/>
      </c>
      <c r="N27" s="17" t="str">
        <f aca="false">SignalRegister!E27</f>
        <v/>
      </c>
      <c r="O27" s="17" t="str">
        <f aca="false">SignalRegister!K27</f>
        <v/>
      </c>
      <c r="P27" s="20" t="str">
        <f aca="false">IF($A27="","",MIN(1.6,IFERROR(INDEX(PharmaLogic!$K$4:$K$15,MATCH($N27,PharmaLogic!$J$4:$J$15,0)),1)*(1+SUMPRODUCT(--ISNUMBER(SEARCH(PharmaLogic!$J$20:$J$41,LOWER($O27&amp;" "&amp;$B27))),PharmaLogic!$K$20:$K$41-1))))</f>
        <v/>
      </c>
      <c r="Q27" s="20" t="str">
        <f aca="false">IF($A27="","",MIN(1.6,IFERROR(INDEX(PharmaLogic!$L$4:$L$15,MATCH($N27,PharmaLogic!$J$4:$J$15,0)),1)*(1+SUMPRODUCT(--ISNUMBER(SEARCH(PharmaLogic!$J$20:$J$41,LOWER($O27&amp;" "&amp;$B27))),PharmaLogic!$L$20:$L$41-1))))</f>
        <v/>
      </c>
      <c r="R27" s="20" t="str">
        <f aca="false">IF($A27="","",MIN(1.6,IFERROR(INDEX(PharmaLogic!$M$4:$M$15,MATCH($N27,PharmaLogic!$J$4:$J$15,0)),1)*(1+SUMPRODUCT(--ISNUMBER(SEARCH(PharmaLogic!$J$20:$J$41,LOWER($O27&amp;" "&amp;$B27))),PharmaLogic!$M$20:$M$41-1))))</f>
        <v/>
      </c>
      <c r="S27" s="20" t="str">
        <f aca="false">IF($A27="","",MIN(1.6,IFERROR(INDEX(PharmaLogic!$N$4:$N$15,MATCH($N27,PharmaLogic!$J$4:$J$15,0)),1)*(1+SUMPRODUCT(--ISNUMBER(SEARCH(PharmaLogic!$J$20:$J$41,LOWER($O27&amp;" "&amp;$B27))),PharmaLogic!$N$20:$N$41-1))))</f>
        <v/>
      </c>
      <c r="T27" s="20" t="str">
        <f aca="false">IF($A27="","",MIN(1.6,IFERROR(INDEX(PharmaLogic!$O$4:$O$15,MATCH($N27,PharmaLogic!$J$4:$J$15,0)),1)*(1+SUMPRODUCT(--ISNUMBER(SEARCH(PharmaLogic!$J$20:$J$41,LOWER($O27&amp;" "&amp;$B27))),PharmaLogic!$O$20:$O$41-1))))</f>
        <v/>
      </c>
      <c r="U27" s="20" t="str">
        <f aca="false">IF($A27="","",MIN(1.6,IFERROR(INDEX(PharmaLogic!$P$4:$P$15,MATCH($N27,PharmaLogic!$J$4:$J$15,0)),1)*(1+SUMPRODUCT(--ISNUMBER(SEARCH(PharmaLogic!$J$20:$J$41,LOWER($O27&amp;" "&amp;$B27))),PharmaLogic!$P$20:$P$41-1))))</f>
        <v/>
      </c>
    </row>
    <row r="28" customFormat="false" ht="15" hidden="false" customHeight="true" outlineLevel="0" collapsed="false">
      <c r="A28" s="17" t="str">
        <f aca="false">SignalRegister!A28</f>
        <v/>
      </c>
      <c r="B28" s="17" t="str">
        <f aca="false">SignalRegister!D28</f>
        <v/>
      </c>
      <c r="C28" s="17" t="str">
        <f aca="false">SignalRegister!F28</f>
        <v/>
      </c>
      <c r="D28" s="17" t="str">
        <f aca="false">SignalRegister!G28</f>
        <v/>
      </c>
      <c r="E28" s="17" t="str">
        <f aca="false">SignalRegister!H28</f>
        <v/>
      </c>
      <c r="F28" s="17" t="str">
        <f aca="false">SignalRegister!I28</f>
        <v/>
      </c>
      <c r="G28" s="20" t="str">
        <f aca="false">IF($A28="","",IF($C28="Positive",1,-1)*((N($D28)+N($E28))/(2*5))*IF($C28="Positive",Actors!$C$4,Actors!$D$4)*Actors!$E$4*$P28)</f>
        <v/>
      </c>
      <c r="H28" s="20" t="str">
        <f aca="false">IF($A28="","",IF($C28="Positive",1,-1)*((N($D28)+N($E28))/(2*5))*IF($C28="Positive",Actors!$C$5,Actors!$D$5)*Actors!$E$5*$Q28)</f>
        <v/>
      </c>
      <c r="I28" s="20" t="str">
        <f aca="false">IF($A28="","",IF($C28="Positive",1,-1)*((N($D28)+N($E28))/(2*5))*IF($C28="Positive",Actors!$C$6,Actors!$D$6)*Actors!$E$6*$R28)</f>
        <v/>
      </c>
      <c r="J28" s="20" t="str">
        <f aca="false">IF($A28="","",IF($C28="Positive",1,-1)*((N($D28)+N($E28))/(2*5))*IF($C28="Positive",Actors!$C$7,Actors!$D$7)*Actors!$E$7*$S28)</f>
        <v/>
      </c>
      <c r="K28" s="20" t="str">
        <f aca="false">IF($A28="","",IF($C28="Positive",1,-1)*((N($D28)+N($E28))/(2*5))*IF($C28="Positive",Actors!$C$8,Actors!$D$8)*Actors!$E$8*$T28)</f>
        <v/>
      </c>
      <c r="L28" s="20" t="str">
        <f aca="false">IF($A28="","",IF($C28="Positive",1,-1)*((N($D28)+N($E28))/(2*5))*IF($C28="Positive",Actors!$C$9,Actors!$D$9)*Actors!$E$9*$U28)</f>
        <v/>
      </c>
      <c r="M28" s="20" t="str">
        <f aca="false">IF(A28="","",G28*Actors!$B$4+H28*Actors!$B$5+I28*Actors!$B$6+J28*Actors!$B$7+K28*Actors!$B$8+L28*Actors!$B$9)</f>
        <v/>
      </c>
      <c r="N28" s="17" t="str">
        <f aca="false">SignalRegister!E28</f>
        <v/>
      </c>
      <c r="O28" s="17" t="str">
        <f aca="false">SignalRegister!K28</f>
        <v/>
      </c>
      <c r="P28" s="20" t="str">
        <f aca="false">IF($A28="","",MIN(1.6,IFERROR(INDEX(PharmaLogic!$K$4:$K$15,MATCH($N28,PharmaLogic!$J$4:$J$15,0)),1)*(1+SUMPRODUCT(--ISNUMBER(SEARCH(PharmaLogic!$J$20:$J$41,LOWER($O28&amp;" "&amp;$B28))),PharmaLogic!$K$20:$K$41-1))))</f>
        <v/>
      </c>
      <c r="Q28" s="20" t="str">
        <f aca="false">IF($A28="","",MIN(1.6,IFERROR(INDEX(PharmaLogic!$L$4:$L$15,MATCH($N28,PharmaLogic!$J$4:$J$15,0)),1)*(1+SUMPRODUCT(--ISNUMBER(SEARCH(PharmaLogic!$J$20:$J$41,LOWER($O28&amp;" "&amp;$B28))),PharmaLogic!$L$20:$L$41-1))))</f>
        <v/>
      </c>
      <c r="R28" s="20" t="str">
        <f aca="false">IF($A28="","",MIN(1.6,IFERROR(INDEX(PharmaLogic!$M$4:$M$15,MATCH($N28,PharmaLogic!$J$4:$J$15,0)),1)*(1+SUMPRODUCT(--ISNUMBER(SEARCH(PharmaLogic!$J$20:$J$41,LOWER($O28&amp;" "&amp;$B28))),PharmaLogic!$M$20:$M$41-1))))</f>
        <v/>
      </c>
      <c r="S28" s="20" t="str">
        <f aca="false">IF($A28="","",MIN(1.6,IFERROR(INDEX(PharmaLogic!$N$4:$N$15,MATCH($N28,PharmaLogic!$J$4:$J$15,0)),1)*(1+SUMPRODUCT(--ISNUMBER(SEARCH(PharmaLogic!$J$20:$J$41,LOWER($O28&amp;" "&amp;$B28))),PharmaLogic!$N$20:$N$41-1))))</f>
        <v/>
      </c>
      <c r="T28" s="20" t="str">
        <f aca="false">IF($A28="","",MIN(1.6,IFERROR(INDEX(PharmaLogic!$O$4:$O$15,MATCH($N28,PharmaLogic!$J$4:$J$15,0)),1)*(1+SUMPRODUCT(--ISNUMBER(SEARCH(PharmaLogic!$J$20:$J$41,LOWER($O28&amp;" "&amp;$B28))),PharmaLogic!$O$20:$O$41-1))))</f>
        <v/>
      </c>
      <c r="U28" s="20" t="str">
        <f aca="false">IF($A28="","",MIN(1.6,IFERROR(INDEX(PharmaLogic!$P$4:$P$15,MATCH($N28,PharmaLogic!$J$4:$J$15,0)),1)*(1+SUMPRODUCT(--ISNUMBER(SEARCH(PharmaLogic!$J$20:$J$41,LOWER($O28&amp;" "&amp;$B28))),PharmaLogic!$P$20:$P$41-1))))</f>
        <v/>
      </c>
    </row>
    <row r="29" customFormat="false" ht="15" hidden="false" customHeight="true" outlineLevel="0" collapsed="false">
      <c r="A29" s="17" t="str">
        <f aca="false">SignalRegister!A29</f>
        <v/>
      </c>
      <c r="B29" s="17" t="str">
        <f aca="false">SignalRegister!D29</f>
        <v/>
      </c>
      <c r="C29" s="17" t="str">
        <f aca="false">SignalRegister!F29</f>
        <v/>
      </c>
      <c r="D29" s="17" t="str">
        <f aca="false">SignalRegister!G29</f>
        <v/>
      </c>
      <c r="E29" s="17" t="str">
        <f aca="false">SignalRegister!H29</f>
        <v/>
      </c>
      <c r="F29" s="17" t="str">
        <f aca="false">SignalRegister!I29</f>
        <v/>
      </c>
      <c r="G29" s="20" t="str">
        <f aca="false">IF($A29="","",IF($C29="Positive",1,-1)*((N($D29)+N($E29))/(2*5))*IF($C29="Positive",Actors!$C$4,Actors!$D$4)*Actors!$E$4*$P29)</f>
        <v/>
      </c>
      <c r="H29" s="20" t="str">
        <f aca="false">IF($A29="","",IF($C29="Positive",1,-1)*((N($D29)+N($E29))/(2*5))*IF($C29="Positive",Actors!$C$5,Actors!$D$5)*Actors!$E$5*$Q29)</f>
        <v/>
      </c>
      <c r="I29" s="20" t="str">
        <f aca="false">IF($A29="","",IF($C29="Positive",1,-1)*((N($D29)+N($E29))/(2*5))*IF($C29="Positive",Actors!$C$6,Actors!$D$6)*Actors!$E$6*$R29)</f>
        <v/>
      </c>
      <c r="J29" s="20" t="str">
        <f aca="false">IF($A29="","",IF($C29="Positive",1,-1)*((N($D29)+N($E29))/(2*5))*IF($C29="Positive",Actors!$C$7,Actors!$D$7)*Actors!$E$7*$S29)</f>
        <v/>
      </c>
      <c r="K29" s="20" t="str">
        <f aca="false">IF($A29="","",IF($C29="Positive",1,-1)*((N($D29)+N($E29))/(2*5))*IF($C29="Positive",Actors!$C$8,Actors!$D$8)*Actors!$E$8*$T29)</f>
        <v/>
      </c>
      <c r="L29" s="20" t="str">
        <f aca="false">IF($A29="","",IF($C29="Positive",1,-1)*((N($D29)+N($E29))/(2*5))*IF($C29="Positive",Actors!$C$9,Actors!$D$9)*Actors!$E$9*$U29)</f>
        <v/>
      </c>
      <c r="M29" s="20" t="str">
        <f aca="false">IF(A29="","",G29*Actors!$B$4+H29*Actors!$B$5+I29*Actors!$B$6+J29*Actors!$B$7+K29*Actors!$B$8+L29*Actors!$B$9)</f>
        <v/>
      </c>
      <c r="N29" s="17" t="str">
        <f aca="false">SignalRegister!E29</f>
        <v/>
      </c>
      <c r="O29" s="17" t="str">
        <f aca="false">SignalRegister!K29</f>
        <v/>
      </c>
      <c r="P29" s="20" t="str">
        <f aca="false">IF($A29="","",MIN(1.6,IFERROR(INDEX(PharmaLogic!$K$4:$K$15,MATCH($N29,PharmaLogic!$J$4:$J$15,0)),1)*(1+SUMPRODUCT(--ISNUMBER(SEARCH(PharmaLogic!$J$20:$J$41,LOWER($O29&amp;" "&amp;$B29))),PharmaLogic!$K$20:$K$41-1))))</f>
        <v/>
      </c>
      <c r="Q29" s="20" t="str">
        <f aca="false">IF($A29="","",MIN(1.6,IFERROR(INDEX(PharmaLogic!$L$4:$L$15,MATCH($N29,PharmaLogic!$J$4:$J$15,0)),1)*(1+SUMPRODUCT(--ISNUMBER(SEARCH(PharmaLogic!$J$20:$J$41,LOWER($O29&amp;" "&amp;$B29))),PharmaLogic!$L$20:$L$41-1))))</f>
        <v/>
      </c>
      <c r="R29" s="20" t="str">
        <f aca="false">IF($A29="","",MIN(1.6,IFERROR(INDEX(PharmaLogic!$M$4:$M$15,MATCH($N29,PharmaLogic!$J$4:$J$15,0)),1)*(1+SUMPRODUCT(--ISNUMBER(SEARCH(PharmaLogic!$J$20:$J$41,LOWER($O29&amp;" "&amp;$B29))),PharmaLogic!$M$20:$M$41-1))))</f>
        <v/>
      </c>
      <c r="S29" s="20" t="str">
        <f aca="false">IF($A29="","",MIN(1.6,IFERROR(INDEX(PharmaLogic!$N$4:$N$15,MATCH($N29,PharmaLogic!$J$4:$J$15,0)),1)*(1+SUMPRODUCT(--ISNUMBER(SEARCH(PharmaLogic!$J$20:$J$41,LOWER($O29&amp;" "&amp;$B29))),PharmaLogic!$N$20:$N$41-1))))</f>
        <v/>
      </c>
      <c r="T29" s="20" t="str">
        <f aca="false">IF($A29="","",MIN(1.6,IFERROR(INDEX(PharmaLogic!$O$4:$O$15,MATCH($N29,PharmaLogic!$J$4:$J$15,0)),1)*(1+SUMPRODUCT(--ISNUMBER(SEARCH(PharmaLogic!$J$20:$J$41,LOWER($O29&amp;" "&amp;$B29))),PharmaLogic!$O$20:$O$41-1))))</f>
        <v/>
      </c>
      <c r="U29" s="20" t="str">
        <f aca="false">IF($A29="","",MIN(1.6,IFERROR(INDEX(PharmaLogic!$P$4:$P$15,MATCH($N29,PharmaLogic!$J$4:$J$15,0)),1)*(1+SUMPRODUCT(--ISNUMBER(SEARCH(PharmaLogic!$J$20:$J$41,LOWER($O29&amp;" "&amp;$B29))),PharmaLogic!$P$20:$P$41-1))))</f>
        <v/>
      </c>
    </row>
    <row r="30" customFormat="false" ht="15" hidden="false" customHeight="true" outlineLevel="0" collapsed="false">
      <c r="A30" s="17" t="str">
        <f aca="false">SignalRegister!A30</f>
        <v/>
      </c>
      <c r="B30" s="17" t="str">
        <f aca="false">SignalRegister!D30</f>
        <v/>
      </c>
      <c r="C30" s="17" t="str">
        <f aca="false">SignalRegister!F30</f>
        <v/>
      </c>
      <c r="D30" s="17" t="str">
        <f aca="false">SignalRegister!G30</f>
        <v/>
      </c>
      <c r="E30" s="17" t="str">
        <f aca="false">SignalRegister!H30</f>
        <v/>
      </c>
      <c r="F30" s="17" t="str">
        <f aca="false">SignalRegister!I30</f>
        <v/>
      </c>
      <c r="G30" s="20" t="str">
        <f aca="false">IF($A30="","",IF($C30="Positive",1,-1)*((N($D30)+N($E30))/(2*5))*IF($C30="Positive",Actors!$C$4,Actors!$D$4)*Actors!$E$4*$P30)</f>
        <v/>
      </c>
      <c r="H30" s="20" t="str">
        <f aca="false">IF($A30="","",IF($C30="Positive",1,-1)*((N($D30)+N($E30))/(2*5))*IF($C30="Positive",Actors!$C$5,Actors!$D$5)*Actors!$E$5*$Q30)</f>
        <v/>
      </c>
      <c r="I30" s="20" t="str">
        <f aca="false">IF($A30="","",IF($C30="Positive",1,-1)*((N($D30)+N($E30))/(2*5))*IF($C30="Positive",Actors!$C$6,Actors!$D$6)*Actors!$E$6*$R30)</f>
        <v/>
      </c>
      <c r="J30" s="20" t="str">
        <f aca="false">IF($A30="","",IF($C30="Positive",1,-1)*((N($D30)+N($E30))/(2*5))*IF($C30="Positive",Actors!$C$7,Actors!$D$7)*Actors!$E$7*$S30)</f>
        <v/>
      </c>
      <c r="K30" s="20" t="str">
        <f aca="false">IF($A30="","",IF($C30="Positive",1,-1)*((N($D30)+N($E30))/(2*5))*IF($C30="Positive",Actors!$C$8,Actors!$D$8)*Actors!$E$8*$T30)</f>
        <v/>
      </c>
      <c r="L30" s="20" t="str">
        <f aca="false">IF($A30="","",IF($C30="Positive",1,-1)*((N($D30)+N($E30))/(2*5))*IF($C30="Positive",Actors!$C$9,Actors!$D$9)*Actors!$E$9*$U30)</f>
        <v/>
      </c>
      <c r="M30" s="20" t="str">
        <f aca="false">IF(A30="","",G30*Actors!$B$4+H30*Actors!$B$5+I30*Actors!$B$6+J30*Actors!$B$7+K30*Actors!$B$8+L30*Actors!$B$9)</f>
        <v/>
      </c>
      <c r="N30" s="17" t="str">
        <f aca="false">SignalRegister!E30</f>
        <v/>
      </c>
      <c r="O30" s="17" t="str">
        <f aca="false">SignalRegister!K30</f>
        <v/>
      </c>
      <c r="P30" s="20" t="str">
        <f aca="false">IF($A30="","",MIN(1.6,IFERROR(INDEX(PharmaLogic!$K$4:$K$15,MATCH($N30,PharmaLogic!$J$4:$J$15,0)),1)*(1+SUMPRODUCT(--ISNUMBER(SEARCH(PharmaLogic!$J$20:$J$41,LOWER($O30&amp;" "&amp;$B30))),PharmaLogic!$K$20:$K$41-1))))</f>
        <v/>
      </c>
      <c r="Q30" s="20" t="str">
        <f aca="false">IF($A30="","",MIN(1.6,IFERROR(INDEX(PharmaLogic!$L$4:$L$15,MATCH($N30,PharmaLogic!$J$4:$J$15,0)),1)*(1+SUMPRODUCT(--ISNUMBER(SEARCH(PharmaLogic!$J$20:$J$41,LOWER($O30&amp;" "&amp;$B30))),PharmaLogic!$L$20:$L$41-1))))</f>
        <v/>
      </c>
      <c r="R30" s="20" t="str">
        <f aca="false">IF($A30="","",MIN(1.6,IFERROR(INDEX(PharmaLogic!$M$4:$M$15,MATCH($N30,PharmaLogic!$J$4:$J$15,0)),1)*(1+SUMPRODUCT(--ISNUMBER(SEARCH(PharmaLogic!$J$20:$J$41,LOWER($O30&amp;" "&amp;$B30))),PharmaLogic!$M$20:$M$41-1))))</f>
        <v/>
      </c>
      <c r="S30" s="20" t="str">
        <f aca="false">IF($A30="","",MIN(1.6,IFERROR(INDEX(PharmaLogic!$N$4:$N$15,MATCH($N30,PharmaLogic!$J$4:$J$15,0)),1)*(1+SUMPRODUCT(--ISNUMBER(SEARCH(PharmaLogic!$J$20:$J$41,LOWER($O30&amp;" "&amp;$B30))),PharmaLogic!$N$20:$N$41-1))))</f>
        <v/>
      </c>
      <c r="T30" s="20" t="str">
        <f aca="false">IF($A30="","",MIN(1.6,IFERROR(INDEX(PharmaLogic!$O$4:$O$15,MATCH($N30,PharmaLogic!$J$4:$J$15,0)),1)*(1+SUMPRODUCT(--ISNUMBER(SEARCH(PharmaLogic!$J$20:$J$41,LOWER($O30&amp;" "&amp;$B30))),PharmaLogic!$O$20:$O$41-1))))</f>
        <v/>
      </c>
      <c r="U30" s="20" t="str">
        <f aca="false">IF($A30="","",MIN(1.6,IFERROR(INDEX(PharmaLogic!$P$4:$P$15,MATCH($N30,PharmaLogic!$J$4:$J$15,0)),1)*(1+SUMPRODUCT(--ISNUMBER(SEARCH(PharmaLogic!$J$20:$J$41,LOWER($O30&amp;" "&amp;$B30))),PharmaLogic!$P$20:$P$41-1))))</f>
        <v/>
      </c>
    </row>
    <row r="31" customFormat="false" ht="15" hidden="false" customHeight="true" outlineLevel="0" collapsed="false">
      <c r="A31" s="17" t="str">
        <f aca="false">SignalRegister!A31</f>
        <v/>
      </c>
      <c r="B31" s="17" t="str">
        <f aca="false">SignalRegister!D31</f>
        <v/>
      </c>
      <c r="C31" s="17" t="str">
        <f aca="false">SignalRegister!F31</f>
        <v/>
      </c>
      <c r="D31" s="17" t="str">
        <f aca="false">SignalRegister!G31</f>
        <v/>
      </c>
      <c r="E31" s="17" t="str">
        <f aca="false">SignalRegister!H31</f>
        <v/>
      </c>
      <c r="F31" s="17" t="str">
        <f aca="false">SignalRegister!I31</f>
        <v/>
      </c>
      <c r="G31" s="20" t="str">
        <f aca="false">IF($A31="","",IF($C31="Positive",1,-1)*((N($D31)+N($E31))/(2*5))*IF($C31="Positive",Actors!$C$4,Actors!$D$4)*Actors!$E$4*$P31)</f>
        <v/>
      </c>
      <c r="H31" s="20" t="str">
        <f aca="false">IF($A31="","",IF($C31="Positive",1,-1)*((N($D31)+N($E31))/(2*5))*IF($C31="Positive",Actors!$C$5,Actors!$D$5)*Actors!$E$5*$Q31)</f>
        <v/>
      </c>
      <c r="I31" s="20" t="str">
        <f aca="false">IF($A31="","",IF($C31="Positive",1,-1)*((N($D31)+N($E31))/(2*5))*IF($C31="Positive",Actors!$C$6,Actors!$D$6)*Actors!$E$6*$R31)</f>
        <v/>
      </c>
      <c r="J31" s="20" t="str">
        <f aca="false">IF($A31="","",IF($C31="Positive",1,-1)*((N($D31)+N($E31))/(2*5))*IF($C31="Positive",Actors!$C$7,Actors!$D$7)*Actors!$E$7*$S31)</f>
        <v/>
      </c>
      <c r="K31" s="20" t="str">
        <f aca="false">IF($A31="","",IF($C31="Positive",1,-1)*((N($D31)+N($E31))/(2*5))*IF($C31="Positive",Actors!$C$8,Actors!$D$8)*Actors!$E$8*$T31)</f>
        <v/>
      </c>
      <c r="L31" s="20" t="str">
        <f aca="false">IF($A31="","",IF($C31="Positive",1,-1)*((N($D31)+N($E31))/(2*5))*IF($C31="Positive",Actors!$C$9,Actors!$D$9)*Actors!$E$9*$U31)</f>
        <v/>
      </c>
      <c r="M31" s="20" t="str">
        <f aca="false">IF(A31="","",G31*Actors!$B$4+H31*Actors!$B$5+I31*Actors!$B$6+J31*Actors!$B$7+K31*Actors!$B$8+L31*Actors!$B$9)</f>
        <v/>
      </c>
      <c r="N31" s="17" t="str">
        <f aca="false">SignalRegister!E31</f>
        <v/>
      </c>
      <c r="O31" s="17" t="str">
        <f aca="false">SignalRegister!K31</f>
        <v/>
      </c>
      <c r="P31" s="20" t="str">
        <f aca="false">IF($A31="","",MIN(1.6,IFERROR(INDEX(PharmaLogic!$K$4:$K$15,MATCH($N31,PharmaLogic!$J$4:$J$15,0)),1)*(1+SUMPRODUCT(--ISNUMBER(SEARCH(PharmaLogic!$J$20:$J$41,LOWER($O31&amp;" "&amp;$B31))),PharmaLogic!$K$20:$K$41-1))))</f>
        <v/>
      </c>
      <c r="Q31" s="20" t="str">
        <f aca="false">IF($A31="","",MIN(1.6,IFERROR(INDEX(PharmaLogic!$L$4:$L$15,MATCH($N31,PharmaLogic!$J$4:$J$15,0)),1)*(1+SUMPRODUCT(--ISNUMBER(SEARCH(PharmaLogic!$J$20:$J$41,LOWER($O31&amp;" "&amp;$B31))),PharmaLogic!$L$20:$L$41-1))))</f>
        <v/>
      </c>
      <c r="R31" s="20" t="str">
        <f aca="false">IF($A31="","",MIN(1.6,IFERROR(INDEX(PharmaLogic!$M$4:$M$15,MATCH($N31,PharmaLogic!$J$4:$J$15,0)),1)*(1+SUMPRODUCT(--ISNUMBER(SEARCH(PharmaLogic!$J$20:$J$41,LOWER($O31&amp;" "&amp;$B31))),PharmaLogic!$M$20:$M$41-1))))</f>
        <v/>
      </c>
      <c r="S31" s="20" t="str">
        <f aca="false">IF($A31="","",MIN(1.6,IFERROR(INDEX(PharmaLogic!$N$4:$N$15,MATCH($N31,PharmaLogic!$J$4:$J$15,0)),1)*(1+SUMPRODUCT(--ISNUMBER(SEARCH(PharmaLogic!$J$20:$J$41,LOWER($O31&amp;" "&amp;$B31))),PharmaLogic!$N$20:$N$41-1))))</f>
        <v/>
      </c>
      <c r="T31" s="20" t="str">
        <f aca="false">IF($A31="","",MIN(1.6,IFERROR(INDEX(PharmaLogic!$O$4:$O$15,MATCH($N31,PharmaLogic!$J$4:$J$15,0)),1)*(1+SUMPRODUCT(--ISNUMBER(SEARCH(PharmaLogic!$J$20:$J$41,LOWER($O31&amp;" "&amp;$B31))),PharmaLogic!$O$20:$O$41-1))))</f>
        <v/>
      </c>
      <c r="U31" s="20" t="str">
        <f aca="false">IF($A31="","",MIN(1.6,IFERROR(INDEX(PharmaLogic!$P$4:$P$15,MATCH($N31,PharmaLogic!$J$4:$J$15,0)),1)*(1+SUMPRODUCT(--ISNUMBER(SEARCH(PharmaLogic!$J$20:$J$41,LOWER($O31&amp;" "&amp;$B31))),PharmaLogic!$P$20:$P$41-1))))</f>
        <v/>
      </c>
    </row>
    <row r="32" customFormat="false" ht="15" hidden="false" customHeight="true" outlineLevel="0" collapsed="false">
      <c r="A32" s="17" t="str">
        <f aca="false">SignalRegister!A32</f>
        <v/>
      </c>
      <c r="B32" s="17" t="str">
        <f aca="false">SignalRegister!D32</f>
        <v/>
      </c>
      <c r="C32" s="17" t="str">
        <f aca="false">SignalRegister!F32</f>
        <v/>
      </c>
      <c r="D32" s="17" t="str">
        <f aca="false">SignalRegister!G32</f>
        <v/>
      </c>
      <c r="E32" s="17" t="str">
        <f aca="false">SignalRegister!H32</f>
        <v/>
      </c>
      <c r="F32" s="17" t="str">
        <f aca="false">SignalRegister!I32</f>
        <v/>
      </c>
      <c r="G32" s="20" t="str">
        <f aca="false">IF($A32="","",IF($C32="Positive",1,-1)*((N($D32)+N($E32))/(2*5))*IF($C32="Positive",Actors!$C$4,Actors!$D$4)*Actors!$E$4*$P32)</f>
        <v/>
      </c>
      <c r="H32" s="20" t="str">
        <f aca="false">IF($A32="","",IF($C32="Positive",1,-1)*((N($D32)+N($E32))/(2*5))*IF($C32="Positive",Actors!$C$5,Actors!$D$5)*Actors!$E$5*$Q32)</f>
        <v/>
      </c>
      <c r="I32" s="20" t="str">
        <f aca="false">IF($A32="","",IF($C32="Positive",1,-1)*((N($D32)+N($E32))/(2*5))*IF($C32="Positive",Actors!$C$6,Actors!$D$6)*Actors!$E$6*$R32)</f>
        <v/>
      </c>
      <c r="J32" s="20" t="str">
        <f aca="false">IF($A32="","",IF($C32="Positive",1,-1)*((N($D32)+N($E32))/(2*5))*IF($C32="Positive",Actors!$C$7,Actors!$D$7)*Actors!$E$7*$S32)</f>
        <v/>
      </c>
      <c r="K32" s="20" t="str">
        <f aca="false">IF($A32="","",IF($C32="Positive",1,-1)*((N($D32)+N($E32))/(2*5))*IF($C32="Positive",Actors!$C$8,Actors!$D$8)*Actors!$E$8*$T32)</f>
        <v/>
      </c>
      <c r="L32" s="20" t="str">
        <f aca="false">IF($A32="","",IF($C32="Positive",1,-1)*((N($D32)+N($E32))/(2*5))*IF($C32="Positive",Actors!$C$9,Actors!$D$9)*Actors!$E$9*$U32)</f>
        <v/>
      </c>
      <c r="M32" s="20" t="str">
        <f aca="false">IF(A32="","",G32*Actors!$B$4+H32*Actors!$B$5+I32*Actors!$B$6+J32*Actors!$B$7+K32*Actors!$B$8+L32*Actors!$B$9)</f>
        <v/>
      </c>
      <c r="N32" s="17" t="str">
        <f aca="false">SignalRegister!E32</f>
        <v/>
      </c>
      <c r="O32" s="17" t="str">
        <f aca="false">SignalRegister!K32</f>
        <v/>
      </c>
      <c r="P32" s="20" t="str">
        <f aca="false">IF($A32="","",MIN(1.6,IFERROR(INDEX(PharmaLogic!$K$4:$K$15,MATCH($N32,PharmaLogic!$J$4:$J$15,0)),1)*(1+SUMPRODUCT(--ISNUMBER(SEARCH(PharmaLogic!$J$20:$J$41,LOWER($O32&amp;" "&amp;$B32))),PharmaLogic!$K$20:$K$41-1))))</f>
        <v/>
      </c>
      <c r="Q32" s="20" t="str">
        <f aca="false">IF($A32="","",MIN(1.6,IFERROR(INDEX(PharmaLogic!$L$4:$L$15,MATCH($N32,PharmaLogic!$J$4:$J$15,0)),1)*(1+SUMPRODUCT(--ISNUMBER(SEARCH(PharmaLogic!$J$20:$J$41,LOWER($O32&amp;" "&amp;$B32))),PharmaLogic!$L$20:$L$41-1))))</f>
        <v/>
      </c>
      <c r="R32" s="20" t="str">
        <f aca="false">IF($A32="","",MIN(1.6,IFERROR(INDEX(PharmaLogic!$M$4:$M$15,MATCH($N32,PharmaLogic!$J$4:$J$15,0)),1)*(1+SUMPRODUCT(--ISNUMBER(SEARCH(PharmaLogic!$J$20:$J$41,LOWER($O32&amp;" "&amp;$B32))),PharmaLogic!$M$20:$M$41-1))))</f>
        <v/>
      </c>
      <c r="S32" s="20" t="str">
        <f aca="false">IF($A32="","",MIN(1.6,IFERROR(INDEX(PharmaLogic!$N$4:$N$15,MATCH($N32,PharmaLogic!$J$4:$J$15,0)),1)*(1+SUMPRODUCT(--ISNUMBER(SEARCH(PharmaLogic!$J$20:$J$41,LOWER($O32&amp;" "&amp;$B32))),PharmaLogic!$N$20:$N$41-1))))</f>
        <v/>
      </c>
      <c r="T32" s="20" t="str">
        <f aca="false">IF($A32="","",MIN(1.6,IFERROR(INDEX(PharmaLogic!$O$4:$O$15,MATCH($N32,PharmaLogic!$J$4:$J$15,0)),1)*(1+SUMPRODUCT(--ISNUMBER(SEARCH(PharmaLogic!$J$20:$J$41,LOWER($O32&amp;" "&amp;$B32))),PharmaLogic!$O$20:$O$41-1))))</f>
        <v/>
      </c>
      <c r="U32" s="20" t="str">
        <f aca="false">IF($A32="","",MIN(1.6,IFERROR(INDEX(PharmaLogic!$P$4:$P$15,MATCH($N32,PharmaLogic!$J$4:$J$15,0)),1)*(1+SUMPRODUCT(--ISNUMBER(SEARCH(PharmaLogic!$J$20:$J$41,LOWER($O32&amp;" "&amp;$B32))),PharmaLogic!$P$20:$P$41-1))))</f>
        <v/>
      </c>
    </row>
    <row r="33" customFormat="false" ht="15" hidden="false" customHeight="true" outlineLevel="0" collapsed="false">
      <c r="A33" s="17" t="str">
        <f aca="false">SignalRegister!A33</f>
        <v/>
      </c>
      <c r="B33" s="17" t="str">
        <f aca="false">SignalRegister!D33</f>
        <v/>
      </c>
      <c r="C33" s="17" t="str">
        <f aca="false">SignalRegister!F33</f>
        <v/>
      </c>
      <c r="D33" s="17" t="str">
        <f aca="false">SignalRegister!G33</f>
        <v/>
      </c>
      <c r="E33" s="17" t="str">
        <f aca="false">SignalRegister!H33</f>
        <v/>
      </c>
      <c r="F33" s="17" t="str">
        <f aca="false">SignalRegister!I33</f>
        <v/>
      </c>
      <c r="G33" s="20" t="str">
        <f aca="false">IF($A33="","",IF($C33="Positive",1,-1)*((N($D33)+N($E33))/(2*5))*IF($C33="Positive",Actors!$C$4,Actors!$D$4)*Actors!$E$4*$P33)</f>
        <v/>
      </c>
      <c r="H33" s="20" t="str">
        <f aca="false">IF($A33="","",IF($C33="Positive",1,-1)*((N($D33)+N($E33))/(2*5))*IF($C33="Positive",Actors!$C$5,Actors!$D$5)*Actors!$E$5*$Q33)</f>
        <v/>
      </c>
      <c r="I33" s="20" t="str">
        <f aca="false">IF($A33="","",IF($C33="Positive",1,-1)*((N($D33)+N($E33))/(2*5))*IF($C33="Positive",Actors!$C$6,Actors!$D$6)*Actors!$E$6*$R33)</f>
        <v/>
      </c>
      <c r="J33" s="20" t="str">
        <f aca="false">IF($A33="","",IF($C33="Positive",1,-1)*((N($D33)+N($E33))/(2*5))*IF($C33="Positive",Actors!$C$7,Actors!$D$7)*Actors!$E$7*$S33)</f>
        <v/>
      </c>
      <c r="K33" s="20" t="str">
        <f aca="false">IF($A33="","",IF($C33="Positive",1,-1)*((N($D33)+N($E33))/(2*5))*IF($C33="Positive",Actors!$C$8,Actors!$D$8)*Actors!$E$8*$T33)</f>
        <v/>
      </c>
      <c r="L33" s="20" t="str">
        <f aca="false">IF($A33="","",IF($C33="Positive",1,-1)*((N($D33)+N($E33))/(2*5))*IF($C33="Positive",Actors!$C$9,Actors!$D$9)*Actors!$E$9*$U33)</f>
        <v/>
      </c>
      <c r="M33" s="20" t="str">
        <f aca="false">IF(A33="","",G33*Actors!$B$4+H33*Actors!$B$5+I33*Actors!$B$6+J33*Actors!$B$7+K33*Actors!$B$8+L33*Actors!$B$9)</f>
        <v/>
      </c>
      <c r="N33" s="17" t="str">
        <f aca="false">SignalRegister!E33</f>
        <v/>
      </c>
      <c r="O33" s="17" t="str">
        <f aca="false">SignalRegister!K33</f>
        <v/>
      </c>
      <c r="P33" s="20" t="str">
        <f aca="false">IF($A33="","",MIN(1.6,IFERROR(INDEX(PharmaLogic!$K$4:$K$15,MATCH($N33,PharmaLogic!$J$4:$J$15,0)),1)*(1+SUMPRODUCT(--ISNUMBER(SEARCH(PharmaLogic!$J$20:$J$41,LOWER($O33&amp;" "&amp;$B33))),PharmaLogic!$K$20:$K$41-1))))</f>
        <v/>
      </c>
      <c r="Q33" s="20" t="str">
        <f aca="false">IF($A33="","",MIN(1.6,IFERROR(INDEX(PharmaLogic!$L$4:$L$15,MATCH($N33,PharmaLogic!$J$4:$J$15,0)),1)*(1+SUMPRODUCT(--ISNUMBER(SEARCH(PharmaLogic!$J$20:$J$41,LOWER($O33&amp;" "&amp;$B33))),PharmaLogic!$L$20:$L$41-1))))</f>
        <v/>
      </c>
      <c r="R33" s="20" t="str">
        <f aca="false">IF($A33="","",MIN(1.6,IFERROR(INDEX(PharmaLogic!$M$4:$M$15,MATCH($N33,PharmaLogic!$J$4:$J$15,0)),1)*(1+SUMPRODUCT(--ISNUMBER(SEARCH(PharmaLogic!$J$20:$J$41,LOWER($O33&amp;" "&amp;$B33))),PharmaLogic!$M$20:$M$41-1))))</f>
        <v/>
      </c>
      <c r="S33" s="20" t="str">
        <f aca="false">IF($A33="","",MIN(1.6,IFERROR(INDEX(PharmaLogic!$N$4:$N$15,MATCH($N33,PharmaLogic!$J$4:$J$15,0)),1)*(1+SUMPRODUCT(--ISNUMBER(SEARCH(PharmaLogic!$J$20:$J$41,LOWER($O33&amp;" "&amp;$B33))),PharmaLogic!$N$20:$N$41-1))))</f>
        <v/>
      </c>
      <c r="T33" s="20" t="str">
        <f aca="false">IF($A33="","",MIN(1.6,IFERROR(INDEX(PharmaLogic!$O$4:$O$15,MATCH($N33,PharmaLogic!$J$4:$J$15,0)),1)*(1+SUMPRODUCT(--ISNUMBER(SEARCH(PharmaLogic!$J$20:$J$41,LOWER($O33&amp;" "&amp;$B33))),PharmaLogic!$O$20:$O$41-1))))</f>
        <v/>
      </c>
      <c r="U33" s="20" t="str">
        <f aca="false">IF($A33="","",MIN(1.6,IFERROR(INDEX(PharmaLogic!$P$4:$P$15,MATCH($N33,PharmaLogic!$J$4:$J$15,0)),1)*(1+SUMPRODUCT(--ISNUMBER(SEARCH(PharmaLogic!$J$20:$J$41,LOWER($O33&amp;" "&amp;$B33))),PharmaLogic!$P$20:$P$41-1))))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28"/>
  </cols>
  <sheetData>
    <row r="1" customFormat="false" ht="17.25" hidden="false" customHeight="true" outlineLevel="0" collapsed="false">
      <c r="A1" s="15" t="s">
        <v>630</v>
      </c>
    </row>
    <row r="3" customFormat="false" ht="15" hidden="false" customHeight="true" outlineLevel="0" collapsed="false">
      <c r="A3" s="16" t="s">
        <v>468</v>
      </c>
      <c r="B3" s="16" t="s">
        <v>631</v>
      </c>
      <c r="C3" s="16" t="s">
        <v>39</v>
      </c>
    </row>
    <row r="4" customFormat="false" ht="15" hidden="false" customHeight="true" outlineLevel="0" collapsed="false">
      <c r="A4" s="17" t="str">
        <f aca="false">Actors!A4</f>
        <v>Academic KOLs</v>
      </c>
      <c r="B4" s="20" t="n">
        <f aca="false">SUM(ActorReactionMatrix!G4:G33)*Actors!B4</f>
        <v>0.343945780795344</v>
      </c>
      <c r="C4" s="17" t="str">
        <f aca="false">IF(B4="","",IF(B4&gt;0.25,"Strong support",IF(B4&gt;0.05,"Moderate support",IF(B4&lt; -0.25,"Strong constraint",IF(B4&lt; -0.05,"Moderate constraint","Neutral / mixed")))))</f>
        <v>Strong support</v>
      </c>
    </row>
    <row r="5" customFormat="false" ht="15" hidden="false" customHeight="true" outlineLevel="0" collapsed="false">
      <c r="A5" s="17" t="str">
        <f aca="false">Actors!A5</f>
        <v>Community Physicians</v>
      </c>
      <c r="B5" s="20" t="n">
        <f aca="false">SUM(ActorReactionMatrix!H4:H33)*Actors!B5</f>
        <v>0.0656537997090204</v>
      </c>
      <c r="C5" s="17" t="str">
        <f aca="false">IF(B5="","",IF(B5&gt;0.25,"Strong support",IF(B5&gt;0.05,"Moderate support",IF(B5&lt; -0.25,"Strong constraint",IF(B5&lt; -0.05,"Moderate constraint","Neutral / mixed")))))</f>
        <v>Moderate support</v>
      </c>
    </row>
    <row r="6" customFormat="false" ht="15" hidden="false" customHeight="true" outlineLevel="0" collapsed="false">
      <c r="A6" s="17" t="str">
        <f aca="false">Actors!A6</f>
        <v>Specialty Extenders / PCPs</v>
      </c>
      <c r="B6" s="20" t="n">
        <f aca="false">SUM(ActorReactionMatrix!I4:I33)*Actors!B6</f>
        <v>0.0932124151309408</v>
      </c>
      <c r="C6" s="17" t="str">
        <f aca="false">IF(B6="","",IF(B6&gt;0.25,"Strong support",IF(B6&gt;0.05,"Moderate support",IF(B6&lt; -0.25,"Strong constraint",IF(B6&lt; -0.05,"Moderate constraint","Neutral / mixed")))))</f>
        <v>Moderate support</v>
      </c>
    </row>
    <row r="7" customFormat="false" ht="15" hidden="false" customHeight="true" outlineLevel="0" collapsed="false">
      <c r="A7" s="17" t="str">
        <f aca="false">Actors!A7</f>
        <v>Payers / Access</v>
      </c>
      <c r="B7" s="20" t="n">
        <f aca="false">SUM(ActorReactionMatrix!J4:J33)*Actors!B7</f>
        <v>0.125718913676043</v>
      </c>
      <c r="C7" s="17" t="str">
        <f aca="false">IF(B7="","",IF(B7&gt;0.25,"Strong support",IF(B7&gt;0.05,"Moderate support",IF(B7&lt; -0.25,"Strong constraint",IF(B7&lt; -0.05,"Moderate constraint","Neutral / mixed")))))</f>
        <v>Moderate support</v>
      </c>
    </row>
    <row r="8" customFormat="false" ht="15" hidden="false" customHeight="true" outlineLevel="0" collapsed="false">
      <c r="A8" s="17" t="str">
        <f aca="false">Actors!A8</f>
        <v>Guideline / Society Bodies</v>
      </c>
      <c r="B8" s="20" t="n">
        <f aca="false">SUM(ActorReactionMatrix!K4:K33)*Actors!B8</f>
        <v>0.207759456838021</v>
      </c>
      <c r="C8" s="17" t="str">
        <f aca="false">IF(B8="","",IF(B8&gt;0.25,"Strong support",IF(B8&gt;0.05,"Moderate support",IF(B8&lt; -0.25,"Strong constraint",IF(B8&lt; -0.05,"Moderate constraint","Neutral / mixed")))))</f>
        <v>Moderate support</v>
      </c>
    </row>
    <row r="9" customFormat="false" ht="15" hidden="false" customHeight="true" outlineLevel="0" collapsed="false">
      <c r="A9" s="17" t="str">
        <f aca="false">Actors!A9</f>
        <v>Competitor Counteraction</v>
      </c>
      <c r="B9" s="20" t="n">
        <f aca="false">SUM(ActorReactionMatrix!L4:L33)*Actors!B9</f>
        <v>-0.085317555771096</v>
      </c>
      <c r="C9" s="17" t="str">
        <f aca="false">IF(B9="","",IF(B9&gt;0.25,"Strong support",IF(B9&gt;0.05,"Moderate support",IF(B9&lt; -0.25,"Strong constraint",IF(B9&lt; -0.05,"Moderate constraint","Neutral / mixed")))))</f>
        <v>Moderate constraint</v>
      </c>
    </row>
    <row r="10" customFormat="false" ht="15" hidden="false" customHeight="true" outlineLevel="0" collapsed="false">
      <c r="A10" s="26" t="s">
        <v>632</v>
      </c>
      <c r="B10" s="17" t="str">
        <f aca="false">INDEX(A4:A9,MATCH(MAX(B4:B9),B4:B9,0))</f>
        <v>Academic KOLs</v>
      </c>
      <c r="C10" s="17"/>
    </row>
    <row r="11" customFormat="false" ht="27.75" hidden="false" customHeight="true" outlineLevel="0" collapsed="false">
      <c r="A11" s="26" t="s">
        <v>633</v>
      </c>
      <c r="B11" s="17" t="str">
        <f aca="false">INDEX(A4:A9,MATCH(MIN(B4:B9),B4:B9,0))</f>
        <v>Competitor Counteraction</v>
      </c>
      <c r="C11" s="17"/>
    </row>
    <row r="12" customFormat="false" ht="15" hidden="false" customHeight="true" outlineLevel="0" collapsed="false">
      <c r="A12" s="26" t="s">
        <v>634</v>
      </c>
      <c r="B12" s="17" t="n">
        <f aca="false">SUM(B4:B9)</f>
        <v>0.750972810378274</v>
      </c>
      <c r="C12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70"/>
  </cols>
  <sheetData>
    <row r="1" customFormat="false" ht="17.25" hidden="false" customHeight="true" outlineLevel="0" collapsed="false">
      <c r="A1" s="15" t="s">
        <v>635</v>
      </c>
    </row>
    <row r="3" customFormat="false" ht="15" hidden="false" customHeight="true" outlineLevel="0" collapsed="false">
      <c r="A3" s="16" t="s">
        <v>636</v>
      </c>
      <c r="B3" s="16" t="s">
        <v>442</v>
      </c>
      <c r="C3" s="16" t="s">
        <v>637</v>
      </c>
    </row>
    <row r="4" customFormat="false" ht="15" hidden="false" customHeight="true" outlineLevel="0" collapsed="false">
      <c r="A4" s="17" t="s">
        <v>638</v>
      </c>
      <c r="B4" s="18" t="n">
        <v>0.45</v>
      </c>
      <c r="C4" s="17" t="s">
        <v>639</v>
      </c>
    </row>
    <row r="5" customFormat="false" ht="15" hidden="false" customHeight="true" outlineLevel="0" collapsed="false">
      <c r="A5" s="17" t="s">
        <v>640</v>
      </c>
      <c r="B5" s="17" t="n">
        <f aca="false">IF(B4&gt;=1,"",B4/(1-B4))</f>
        <v>0.818181818181818</v>
      </c>
      <c r="C5" s="17" t="s">
        <v>641</v>
      </c>
    </row>
    <row r="6" customFormat="false" ht="15" hidden="false" customHeight="true" outlineLevel="0" collapsed="false">
      <c r="A6" s="17" t="s">
        <v>642</v>
      </c>
      <c r="B6" s="17" t="n">
        <f aca="false">IF(COUNTIF(SignalRegister!A4:A33,"&lt;&gt;")=0,1,PRODUCT(SignalRegister!P4:P33))</f>
        <v>1.25664</v>
      </c>
      <c r="C6" s="17" t="s">
        <v>643</v>
      </c>
    </row>
    <row r="7" customFormat="false" ht="15" hidden="false" customHeight="true" outlineLevel="0" collapsed="false">
      <c r="A7" s="17" t="s">
        <v>644</v>
      </c>
      <c r="B7" s="17" t="n">
        <f aca="false">EXP(ActorAggregation!B12/2)</f>
        <v>1.45569930213855</v>
      </c>
      <c r="C7" s="17" t="s">
        <v>645</v>
      </c>
    </row>
    <row r="8" customFormat="false" ht="15" hidden="false" customHeight="true" outlineLevel="0" collapsed="false">
      <c r="A8" s="17" t="s">
        <v>646</v>
      </c>
      <c r="B8" s="17" t="n">
        <f aca="false">B5*B6*B7</f>
        <v>1.49669179448677</v>
      </c>
      <c r="C8" s="17" t="s">
        <v>647</v>
      </c>
    </row>
    <row r="9" customFormat="false" ht="15" hidden="false" customHeight="true" outlineLevel="0" collapsed="false">
      <c r="A9" s="17" t="s">
        <v>648</v>
      </c>
      <c r="B9" s="18" t="n">
        <f aca="false">IF(B8="","",B8/(1+B8))</f>
        <v>0.59946998575947</v>
      </c>
      <c r="C9" s="17" t="s">
        <v>649</v>
      </c>
    </row>
    <row r="10" customFormat="false" ht="15" hidden="false" customHeight="true" outlineLevel="0" collapsed="false">
      <c r="A10" s="17" t="s">
        <v>650</v>
      </c>
      <c r="B10" s="20" t="str">
        <f aca="false">IF(COUNTIF(SignalRegister!A4:A33,"&lt;&gt;")=0,"Low",IF(COUNTIF(SignalRegister!A4:A33,"&lt;&gt;")&lt;3,"Developing",IF(ABS(ActorAggregation!B12)&lt;0.15,"Moderate","High")))</f>
        <v>High</v>
      </c>
      <c r="C10" s="17" t="s">
        <v>651</v>
      </c>
    </row>
    <row r="11" customFormat="false" ht="15" hidden="false" customHeight="true" outlineLevel="0" collapsed="false">
      <c r="A11" s="17" t="s">
        <v>634</v>
      </c>
      <c r="B11" s="20" t="n">
        <f aca="false">ActorAggregation!B12</f>
        <v>0.750972810378274</v>
      </c>
      <c r="C11" s="17" t="s">
        <v>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75"/>
  </cols>
  <sheetData>
    <row r="1" customFormat="false" ht="17.25" hidden="false" customHeight="true" outlineLevel="0" collapsed="false">
      <c r="A1" s="15" t="s">
        <v>653</v>
      </c>
    </row>
    <row r="3" customFormat="false" ht="15" hidden="false" customHeight="true" outlineLevel="0" collapsed="false">
      <c r="A3" s="16" t="s">
        <v>654</v>
      </c>
      <c r="B3" s="16" t="s">
        <v>655</v>
      </c>
    </row>
    <row r="4" customFormat="false" ht="15" hidden="false" customHeight="true" outlineLevel="0" collapsed="false">
      <c r="A4" s="17" t="s">
        <v>656</v>
      </c>
      <c r="B4" s="17" t="str">
        <f aca="false">IF(ProbabilityEngine!B9="","",IF(ProbabilityEngine!B9&gt;=0.7,"High-likelihood case with strong actor support",IF(ProbabilityEngine!B9&gt;=0.55,"Moderately favorable case requiring monitoring","Probability remains constrained; message and objection refinement still needed")))</f>
        <v>Moderately favorable case requiring monitoring</v>
      </c>
    </row>
    <row r="5" customFormat="false" ht="15" hidden="false" customHeight="true" outlineLevel="0" collapsed="false">
      <c r="A5" s="17" t="s">
        <v>632</v>
      </c>
      <c r="B5" s="17" t="str">
        <f aca="false">ActorAggregation!B10</f>
        <v>Academic KOLs</v>
      </c>
    </row>
    <row r="6" customFormat="false" ht="15" hidden="false" customHeight="true" outlineLevel="0" collapsed="false">
      <c r="A6" s="17" t="s">
        <v>633</v>
      </c>
      <c r="B6" s="17" t="str">
        <f aca="false">ActorAggregation!B11</f>
        <v>Competitor Counteraction</v>
      </c>
    </row>
    <row r="7" customFormat="false" ht="27.75" hidden="false" customHeight="true" outlineLevel="0" collapsed="false">
      <c r="A7" s="17" t="s">
        <v>657</v>
      </c>
      <c r="B7" s="17" t="str">
        <f aca="false">IFERROR(INDEX(SignalRegister!D4:D33,MATCH(MAX(SignalRegister!Q4:Q33),SignalRegister!Q4:Q33,0)),"")</f>
        <v>A new publication appears to strengthen the bridge between microbiology and function.</v>
      </c>
    </row>
    <row r="8" customFormat="false" ht="15" hidden="false" customHeight="true" outlineLevel="0" collapsed="false">
      <c r="A8" s="17" t="s">
        <v>658</v>
      </c>
      <c r="B8" s="17" t="str">
        <f aca="false">IF(ProbabilityEngine!B9&gt;=0.7,"Scale deployment and reinforce winning messages",IF(ProbabilityEngine!B9&gt;=0.55,"Target supportive actors and close remaining objections","Re-route weak points to MIOS/OHOS before broader scale-up"))</f>
        <v>Target supportive actors and close remaining objections</v>
      </c>
    </row>
    <row r="9" customFormat="false" ht="15" hidden="false" customHeight="true" outlineLevel="0" collapsed="false">
      <c r="A9" s="17" t="s">
        <v>659</v>
      </c>
      <c r="B9" s="17" t="str">
        <f aca="false">IF(COUNTIF(SignalRegister!L4:L33,"Yes")&gt;0,"Yes","No")</f>
        <v>Yes</v>
      </c>
    </row>
    <row r="10" customFormat="false" ht="15" hidden="false" customHeight="true" outlineLevel="0" collapsed="false">
      <c r="A10" s="17" t="s">
        <v>660</v>
      </c>
      <c r="B10" s="17" t="str">
        <f aca="false">IF(COUNTIF(SignalRegister!M4:M33,"Yes")&gt;0,"Yes","No")</f>
        <v>Yes</v>
      </c>
    </row>
    <row r="11" customFormat="false" ht="27.75" hidden="false" customHeight="true" outlineLevel="0" collapsed="false">
      <c r="A11" s="16" t="s">
        <v>661</v>
      </c>
      <c r="B11" s="17" t="str">
        <f aca="false">IF(ProbabilityEngine!B9="","",IF(AND(CaseHeader!B16&lt;&gt;"",CaseHeader!B17&lt;&gt;""),"Active actor set: "&amp;CaseHeader!B16&amp;". Tuned for "&amp;CaseHeader!B17&amp;", "&amp;CaseHeader!B18&amp;" guideline leverage, and "&amp;CaseHeader!B19&amp;".",""))</f>
        <v>Active actor set: General. Tuned for Balanced, Medium guideline leverage, and Entrenched standard of care.</v>
      </c>
    </row>
    <row r="12" customFormat="false" ht="15" hidden="false" customHeight="true" outlineLevel="0" collapsed="false">
      <c r="A12" s="16" t="s">
        <v>662</v>
      </c>
      <c r="B12" s="17" t="str">
        <f aca="false">IFERROR(INDEX(Actors!$F$4:$F$9,MATCH(B5,Actors!$A$4:$A$9,0)),"")</f>
        <v>Cross-specialty scientific validators and early adopters.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6" min="5" style="1" width="16"/>
    <col collapsed="false" customWidth="true" hidden="false" outlineLevel="0" max="7" min="7" style="1" width="40"/>
  </cols>
  <sheetData>
    <row r="1" customFormat="false" ht="17.25" hidden="false" customHeight="true" outlineLevel="0" collapsed="false">
      <c r="A1" s="15" t="s">
        <v>663</v>
      </c>
    </row>
    <row r="3" customFormat="false" ht="27.75" hidden="false" customHeight="true" outlineLevel="0" collapsed="false">
      <c r="A3" s="16" t="s">
        <v>664</v>
      </c>
      <c r="B3" s="16" t="s">
        <v>55</v>
      </c>
      <c r="C3" s="16" t="s">
        <v>665</v>
      </c>
      <c r="D3" s="16" t="s">
        <v>666</v>
      </c>
      <c r="E3" s="16" t="s">
        <v>667</v>
      </c>
      <c r="F3" s="16" t="s">
        <v>668</v>
      </c>
      <c r="G3" s="16" t="s">
        <v>9</v>
      </c>
    </row>
    <row r="4" customFormat="false" ht="15" hidden="false" customHeight="true" outlineLevel="0" collapsed="false">
      <c r="A4" s="17" t="s">
        <v>669</v>
      </c>
      <c r="B4" s="17" t="str">
        <f aca="false">CaseHeader!B4</f>
        <v>CASE-001</v>
      </c>
      <c r="C4" s="19" t="n">
        <f aca="true">TODAY()</f>
        <v>46096</v>
      </c>
      <c r="D4" s="18" t="n">
        <f aca="false">ProbabilityEngine!B9</f>
        <v>0.59946998575947</v>
      </c>
      <c r="E4" s="17"/>
      <c r="F4" s="17" t="str">
        <f aca="false">IF(OR(E4="",D4=""),"", (D4-E4)^2 )</f>
        <v/>
      </c>
      <c r="G4" s="17" t="s">
        <v>670</v>
      </c>
    </row>
    <row r="5" customFormat="false" ht="15" hidden="false" customHeight="true" outlineLevel="0" collapsed="false">
      <c r="A5" s="17"/>
      <c r="B5" s="17"/>
      <c r="C5" s="17"/>
      <c r="D5" s="17"/>
      <c r="E5" s="17"/>
      <c r="F5" s="17"/>
      <c r="G5" s="17"/>
    </row>
    <row r="6" customFormat="false" ht="15" hidden="false" customHeight="true" outlineLevel="0" collapsed="false">
      <c r="A6" s="17"/>
      <c r="B6" s="17"/>
      <c r="C6" s="17"/>
      <c r="D6" s="17"/>
      <c r="E6" s="17"/>
      <c r="F6" s="17"/>
      <c r="G6" s="17"/>
    </row>
    <row r="7" customFormat="false" ht="15" hidden="false" customHeight="true" outlineLevel="0" collapsed="false">
      <c r="A7" s="17"/>
      <c r="B7" s="17"/>
      <c r="C7" s="17"/>
      <c r="D7" s="17"/>
      <c r="E7" s="17"/>
      <c r="F7" s="17"/>
      <c r="G7" s="17"/>
    </row>
    <row r="8" customFormat="false" ht="15" hidden="false" customHeight="true" outlineLevel="0" collapsed="false">
      <c r="A8" s="17"/>
      <c r="B8" s="17"/>
      <c r="C8" s="17"/>
      <c r="D8" s="17"/>
      <c r="E8" s="17"/>
      <c r="F8" s="17"/>
      <c r="G8" s="17"/>
    </row>
    <row r="9" customFormat="false" ht="15" hidden="false" customHeight="true" outlineLevel="0" collapsed="false">
      <c r="A9" s="17"/>
      <c r="B9" s="17"/>
      <c r="C9" s="17"/>
      <c r="D9" s="17"/>
      <c r="E9" s="17"/>
      <c r="F9" s="17"/>
      <c r="G9" s="17"/>
    </row>
    <row r="10" customFormat="false" ht="15" hidden="false" customHeight="true" outlineLevel="0" collapsed="false">
      <c r="A10" s="17"/>
      <c r="B10" s="17"/>
      <c r="C10" s="17"/>
      <c r="D10" s="17"/>
      <c r="E10" s="17"/>
      <c r="F10" s="17"/>
      <c r="G10" s="17"/>
    </row>
    <row r="11" customFormat="false" ht="15" hidden="false" customHeight="true" outlineLevel="0" collapsed="false">
      <c r="A11" s="17"/>
      <c r="B11" s="17"/>
      <c r="C11" s="17"/>
      <c r="D11" s="17"/>
      <c r="E11" s="17"/>
      <c r="F11" s="17"/>
      <c r="G11" s="17"/>
    </row>
    <row r="12" customFormat="false" ht="15" hidden="false" customHeight="true" outlineLevel="0" collapsed="false">
      <c r="A12" s="17"/>
      <c r="B12" s="17"/>
      <c r="C12" s="17"/>
      <c r="D12" s="17"/>
      <c r="E12" s="17"/>
      <c r="F12" s="17"/>
      <c r="G12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2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15"/>
    <col collapsed="false" customWidth="true" hidden="false" outlineLevel="0" max="6" min="6" style="1" width="14"/>
    <col collapsed="false" customWidth="true" hidden="false" outlineLevel="0" max="7" min="7" style="1" width="12"/>
  </cols>
  <sheetData>
    <row r="1" customFormat="false" ht="27.75" hidden="false" customHeight="true" outlineLevel="0" collapsed="false">
      <c r="A1" s="16" t="s">
        <v>0</v>
      </c>
      <c r="B1" s="16" t="s">
        <v>36</v>
      </c>
      <c r="C1" s="16" t="s">
        <v>37</v>
      </c>
      <c r="D1" s="16" t="s">
        <v>406</v>
      </c>
      <c r="E1" s="16" t="s">
        <v>407</v>
      </c>
      <c r="F1" s="16" t="s">
        <v>393</v>
      </c>
      <c r="G1" s="16" t="s">
        <v>671</v>
      </c>
    </row>
    <row r="2" customFormat="false" ht="27.75" hidden="false" customHeight="true" outlineLevel="0" collapsed="false">
      <c r="A2" s="17" t="str">
        <f aca="false">SignalRegister!A4</f>
        <v>CS-001</v>
      </c>
      <c r="B2" s="17" t="str">
        <f aca="false">SignalRegister!D4</f>
        <v>A new publication appears to strengthen the bridge between microbiology and function.</v>
      </c>
      <c r="C2" s="17" t="str">
        <f aca="false">SignalRegister!F4</f>
        <v>Positive</v>
      </c>
      <c r="D2" s="17" t="n">
        <f aca="false">SignalRegister!G4</f>
        <v>4</v>
      </c>
      <c r="E2" s="17" t="n">
        <f aca="false">SignalRegister!H4</f>
        <v>5</v>
      </c>
      <c r="F2" s="17" t="n">
        <f aca="false">SignalRegister!I4</f>
        <v>1.32</v>
      </c>
      <c r="G2" s="17" t="e">
        <f aca="false">IF(A2="","",RANK(ABS(SignalRegister!O4),ABS(SignalRegister!$O$4:$O$33),0))</f>
        <v>#VALUE!</v>
      </c>
    </row>
    <row r="3" customFormat="false" ht="27.75" hidden="false" customHeight="true" outlineLevel="0" collapsed="false">
      <c r="A3" s="17" t="str">
        <f aca="false">SignalRegister!A5</f>
        <v>CS-002</v>
      </c>
      <c r="B3" s="17" t="str">
        <f aca="false">SignalRegister!D5</f>
        <v>Multiple accounts continue to ask for a simpler identification and referral story.</v>
      </c>
      <c r="C3" s="17" t="str">
        <f aca="false">SignalRegister!F5</f>
        <v>Negative</v>
      </c>
      <c r="D3" s="17" t="n">
        <f aca="false">SignalRegister!G5</f>
        <v>4</v>
      </c>
      <c r="E3" s="17" t="n">
        <f aca="false">SignalRegister!H5</f>
        <v>4</v>
      </c>
      <c r="F3" s="17" t="n">
        <f aca="false">SignalRegister!I5</f>
        <v>0.68</v>
      </c>
      <c r="G3" s="17" t="e">
        <f aca="false">IF(A3="","",RANK(ABS(SignalRegister!O5),ABS(SignalRegister!$O$4:$O$33),0))</f>
        <v>#VALUE!</v>
      </c>
    </row>
    <row r="4" customFormat="false" ht="27.75" hidden="false" customHeight="true" outlineLevel="0" collapsed="false">
      <c r="A4" s="17" t="str">
        <f aca="false">SignalRegister!A6</f>
        <v>CS-003</v>
      </c>
      <c r="B4" s="17" t="str">
        <f aca="false">SignalRegister!D6</f>
        <v>Emerging coverage shift could reduce reimbursement obstacles in target accounts.</v>
      </c>
      <c r="C4" s="17" t="str">
        <f aca="false">SignalRegister!F6</f>
        <v>Positive</v>
      </c>
      <c r="D4" s="17" t="n">
        <f aca="false">SignalRegister!G6</f>
        <v>5</v>
      </c>
      <c r="E4" s="17" t="n">
        <f aca="false">SignalRegister!H6</f>
        <v>4</v>
      </c>
      <c r="F4" s="17" t="n">
        <f aca="false">SignalRegister!I6</f>
        <v>1.4</v>
      </c>
      <c r="G4" s="17" t="e">
        <f aca="false">IF(A4="","",RANK(ABS(SignalRegister!O6),ABS(SignalRegister!$O$4:$O$33),0))</f>
        <v>#N/A</v>
      </c>
    </row>
    <row r="5" customFormat="false" ht="15" hidden="false" customHeight="true" outlineLevel="0" collapsed="false">
      <c r="A5" s="17" t="n">
        <f aca="false">SignalRegister!A7</f>
        <v>0</v>
      </c>
      <c r="B5" s="17" t="str">
        <f aca="false">SignalRegister!D7</f>
        <v/>
      </c>
      <c r="C5" s="17" t="str">
        <f aca="false">SignalRegister!F7</f>
        <v/>
      </c>
      <c r="D5" s="17" t="str">
        <f aca="false">SignalRegister!G7</f>
        <v/>
      </c>
      <c r="E5" s="17" t="str">
        <f aca="false">SignalRegister!H7</f>
        <v/>
      </c>
      <c r="F5" s="17" t="str">
        <f aca="false">SignalRegister!I7</f>
        <v/>
      </c>
      <c r="G5" s="17" t="e">
        <f aca="false">IF(A5="","",RANK(ABS(SignalRegister!O7),ABS(SignalRegister!$O$4:$O$33),0))</f>
        <v>#N/A</v>
      </c>
    </row>
    <row r="6" customFormat="false" ht="15" hidden="false" customHeight="true" outlineLevel="0" collapsed="false">
      <c r="A6" s="17" t="n">
        <f aca="false">SignalRegister!A8</f>
        <v>0</v>
      </c>
      <c r="B6" s="17" t="str">
        <f aca="false">SignalRegister!D8</f>
        <v/>
      </c>
      <c r="C6" s="17" t="str">
        <f aca="false">SignalRegister!F8</f>
        <v/>
      </c>
      <c r="D6" s="17" t="str">
        <f aca="false">SignalRegister!G8</f>
        <v/>
      </c>
      <c r="E6" s="17" t="str">
        <f aca="false">SignalRegister!H8</f>
        <v/>
      </c>
      <c r="F6" s="17" t="str">
        <f aca="false">SignalRegister!I8</f>
        <v/>
      </c>
      <c r="G6" s="17" t="e">
        <f aca="false">IF(A6="","",RANK(ABS(SignalRegister!O8),ABS(SignalRegister!$O$4:$O$33),0))</f>
        <v>#N/A</v>
      </c>
    </row>
    <row r="7" customFormat="false" ht="15" hidden="false" customHeight="true" outlineLevel="0" collapsed="false">
      <c r="A7" s="17" t="n">
        <f aca="false">SignalRegister!A9</f>
        <v>0</v>
      </c>
      <c r="B7" s="17" t="str">
        <f aca="false">SignalRegister!D9</f>
        <v/>
      </c>
      <c r="C7" s="17" t="str">
        <f aca="false">SignalRegister!F9</f>
        <v/>
      </c>
      <c r="D7" s="17" t="str">
        <f aca="false">SignalRegister!G9</f>
        <v/>
      </c>
      <c r="E7" s="17" t="str">
        <f aca="false">SignalRegister!H9</f>
        <v/>
      </c>
      <c r="F7" s="17" t="str">
        <f aca="false">SignalRegister!I9</f>
        <v/>
      </c>
      <c r="G7" s="17" t="n">
        <f aca="false">IF(A7="","",RANK(ABS(SignalRegister!O9),ABS(SignalRegister!$O$4:$O$33),0))</f>
        <v>1</v>
      </c>
    </row>
    <row r="8" customFormat="false" ht="15" hidden="false" customHeight="true" outlineLevel="0" collapsed="false">
      <c r="A8" s="17" t="n">
        <f aca="false">SignalRegister!A10</f>
        <v>0</v>
      </c>
      <c r="B8" s="17" t="str">
        <f aca="false">SignalRegister!D10</f>
        <v/>
      </c>
      <c r="C8" s="17" t="str">
        <f aca="false">SignalRegister!F10</f>
        <v/>
      </c>
      <c r="D8" s="17" t="str">
        <f aca="false">SignalRegister!G10</f>
        <v/>
      </c>
      <c r="E8" s="17" t="str">
        <f aca="false">SignalRegister!H10</f>
        <v/>
      </c>
      <c r="F8" s="17" t="str">
        <f aca="false">SignalRegister!I10</f>
        <v/>
      </c>
      <c r="G8" s="17" t="n">
        <f aca="false">IF(A8="","",RANK(ABS(SignalRegister!O10),ABS(SignalRegister!$O$4:$O$33),0))</f>
        <v>1</v>
      </c>
    </row>
    <row r="9" customFormat="false" ht="15" hidden="false" customHeight="true" outlineLevel="0" collapsed="false">
      <c r="A9" s="17" t="n">
        <f aca="false">SignalRegister!A11</f>
        <v>0</v>
      </c>
      <c r="B9" s="17" t="str">
        <f aca="false">SignalRegister!D11</f>
        <v/>
      </c>
      <c r="C9" s="17" t="str">
        <f aca="false">SignalRegister!F11</f>
        <v/>
      </c>
      <c r="D9" s="17" t="str">
        <f aca="false">SignalRegister!G11</f>
        <v/>
      </c>
      <c r="E9" s="17" t="str">
        <f aca="false">SignalRegister!H11</f>
        <v/>
      </c>
      <c r="F9" s="17" t="str">
        <f aca="false">SignalRegister!I11</f>
        <v/>
      </c>
      <c r="G9" s="17" t="n">
        <f aca="false">IF(A9="","",RANK(ABS(SignalRegister!O11),ABS(SignalRegister!$O$4:$O$33),0))</f>
        <v>1</v>
      </c>
    </row>
    <row r="10" customFormat="false" ht="15" hidden="false" customHeight="true" outlineLevel="0" collapsed="false">
      <c r="A10" s="17" t="n">
        <f aca="false">SignalRegister!A12</f>
        <v>0</v>
      </c>
      <c r="B10" s="17" t="str">
        <f aca="false">SignalRegister!D12</f>
        <v/>
      </c>
      <c r="C10" s="17" t="str">
        <f aca="false">SignalRegister!F12</f>
        <v/>
      </c>
      <c r="D10" s="17" t="str">
        <f aca="false">SignalRegister!G12</f>
        <v/>
      </c>
      <c r="E10" s="17" t="str">
        <f aca="false">SignalRegister!H12</f>
        <v/>
      </c>
      <c r="F10" s="17" t="str">
        <f aca="false">SignalRegister!I12</f>
        <v/>
      </c>
      <c r="G10" s="17" t="n">
        <f aca="false">IF(A10="","",RANK(ABS(SignalRegister!O12),ABS(SignalRegister!$O$4:$O$33),0))</f>
        <v>1</v>
      </c>
    </row>
    <row r="11" customFormat="false" ht="15" hidden="false" customHeight="true" outlineLevel="0" collapsed="false">
      <c r="A11" s="17" t="n">
        <f aca="false">SignalRegister!A13</f>
        <v>0</v>
      </c>
      <c r="B11" s="17" t="str">
        <f aca="false">SignalRegister!D13</f>
        <v/>
      </c>
      <c r="C11" s="17" t="str">
        <f aca="false">SignalRegister!F13</f>
        <v/>
      </c>
      <c r="D11" s="17" t="str">
        <f aca="false">SignalRegister!G13</f>
        <v/>
      </c>
      <c r="E11" s="17" t="str">
        <f aca="false">SignalRegister!H13</f>
        <v/>
      </c>
      <c r="F11" s="17" t="str">
        <f aca="false">SignalRegister!I13</f>
        <v/>
      </c>
      <c r="G11" s="17" t="n">
        <f aca="false">IF(A11="","",RANK(ABS(SignalRegister!O13),ABS(SignalRegister!$O$4:$O$33),0))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6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28"/>
  </cols>
  <sheetData>
    <row r="1" customFormat="false" ht="27.75" hidden="false" customHeight="true" outlineLevel="0" collapsed="false">
      <c r="A1" s="16" t="s">
        <v>672</v>
      </c>
      <c r="B1" s="16" t="s">
        <v>673</v>
      </c>
      <c r="C1" s="16" t="s">
        <v>37</v>
      </c>
      <c r="D1" s="16" t="s">
        <v>6</v>
      </c>
      <c r="E1" s="16" t="s">
        <v>674</v>
      </c>
      <c r="F1" s="16" t="s">
        <v>9</v>
      </c>
    </row>
    <row r="2" customFormat="false" ht="15" hidden="false" customHeight="true" outlineLevel="0" collapsed="false">
      <c r="A2" s="17" t="s">
        <v>675</v>
      </c>
      <c r="B2" s="17" t="s">
        <v>676</v>
      </c>
      <c r="C2" s="17" t="s">
        <v>49</v>
      </c>
      <c r="D2" s="17" t="n">
        <v>0.15</v>
      </c>
      <c r="E2" s="17" t="n">
        <f aca="false">MIN(0.99,ProbabilityEngine!B9+0.15)</f>
        <v>0.74946998575947</v>
      </c>
      <c r="F2" s="17" t="s">
        <v>677</v>
      </c>
    </row>
    <row r="3" customFormat="false" ht="15" hidden="false" customHeight="true" outlineLevel="0" collapsed="false">
      <c r="A3" s="17" t="s">
        <v>678</v>
      </c>
      <c r="B3" s="17" t="s">
        <v>679</v>
      </c>
      <c r="C3" s="17" t="s">
        <v>44</v>
      </c>
      <c r="D3" s="17" t="n">
        <v>-0.15</v>
      </c>
      <c r="E3" s="17" t="n">
        <f aca="false">MAX(0.01,ProbabilityEngine!B9-0.15)</f>
        <v>0.44946998575947</v>
      </c>
      <c r="F3" s="17" t="s">
        <v>680</v>
      </c>
    </row>
    <row r="4" customFormat="false" ht="15" hidden="false" customHeight="true" outlineLevel="0" collapsed="false">
      <c r="A4" s="17"/>
      <c r="B4" s="17"/>
      <c r="C4" s="17"/>
      <c r="D4" s="17"/>
      <c r="E4" s="17"/>
      <c r="F4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18"/>
  </cols>
  <sheetData>
    <row r="1" customFormat="false" ht="27.75" hidden="false" customHeight="true" outlineLevel="0" collapsed="false">
      <c r="A1" s="16" t="s">
        <v>681</v>
      </c>
      <c r="B1" s="16" t="s">
        <v>682</v>
      </c>
      <c r="C1" s="16" t="s">
        <v>683</v>
      </c>
      <c r="D1" s="16" t="s">
        <v>684</v>
      </c>
      <c r="E1" s="16" t="s">
        <v>685</v>
      </c>
      <c r="F1" s="16" t="s">
        <v>686</v>
      </c>
      <c r="G1" s="16" t="s">
        <v>687</v>
      </c>
      <c r="H1" s="16" t="s">
        <v>688</v>
      </c>
    </row>
    <row r="2" customFormat="false" ht="27.75" hidden="false" customHeight="true" outlineLevel="0" collapsed="false">
      <c r="A2" s="17" t="str">
        <f aca="false">CandidateSignalQueue!A4</f>
        <v>CS-001</v>
      </c>
      <c r="B2" s="17" t="str">
        <f aca="false">CandidateSignalQueue!G4</f>
        <v>New publication emphasizes patient-relevant outcomes linkage</v>
      </c>
      <c r="C2" s="17" t="str">
        <f aca="false">CandidateSignalQueue!I4</f>
        <v>Clinical evidence</v>
      </c>
      <c r="D2" s="17" t="str">
        <f aca="false">CandidateSignalQueue!B4</f>
        <v>2026-03-13</v>
      </c>
      <c r="E2" s="17" t="str">
        <f aca="false">CandidateSignalQueue!J4</f>
        <v>Positive</v>
      </c>
      <c r="F2" s="17" t="n">
        <f aca="false">CandidateSignalQueue!N4</f>
        <v>4</v>
      </c>
      <c r="G2" s="17" t="str">
        <f aca="false">CandidateSignalQueue!R4</f>
        <v>Queued</v>
      </c>
      <c r="H2" s="17" t="str">
        <f aca="false">CandidateSignalQueue!D4</f>
        <v>PubMed</v>
      </c>
    </row>
    <row r="3" customFormat="false" ht="27.75" hidden="false" customHeight="true" outlineLevel="0" collapsed="false">
      <c r="A3" s="17" t="str">
        <f aca="false">CandidateSignalQueue!A5</f>
        <v>CS-002</v>
      </c>
      <c r="B3" s="17" t="str">
        <f aca="false">CandidateSignalQueue!G5</f>
        <v>Community pulmonologists still unclear on patient-fit</v>
      </c>
      <c r="C3" s="17" t="str">
        <f aca="false">CandidateSignalQueue!I5</f>
        <v>Field intelligence</v>
      </c>
      <c r="D3" s="17" t="str">
        <f aca="false">CandidateSignalQueue!B5</f>
        <v>2026-03-13</v>
      </c>
      <c r="E3" s="17" t="str">
        <f aca="false">CandidateSignalQueue!J5</f>
        <v>Negative</v>
      </c>
      <c r="F3" s="17" t="n">
        <f aca="false">CandidateSignalQueue!N5</f>
        <v>4</v>
      </c>
      <c r="G3" s="17" t="str">
        <f aca="false">CandidateSignalQueue!R5</f>
        <v>Queued</v>
      </c>
      <c r="H3" s="17" t="str">
        <f aca="false">CandidateSignalQueue!D5</f>
        <v>Field notes</v>
      </c>
    </row>
    <row r="4" customFormat="false" ht="27.75" hidden="false" customHeight="true" outlineLevel="0" collapsed="false">
      <c r="A4" s="17" t="str">
        <f aca="false">CandidateSignalQueue!A6</f>
        <v>CS-003</v>
      </c>
      <c r="B4" s="17" t="str">
        <f aca="false">CandidateSignalQueue!G6</f>
        <v>Coverage update may lower access friction in selected plans</v>
      </c>
      <c r="C4" s="17" t="str">
        <f aca="false">CandidateSignalQueue!I6</f>
        <v>Access / commercial</v>
      </c>
      <c r="D4" s="17" t="str">
        <f aca="false">CandidateSignalQueue!B6</f>
        <v>2026-03-13</v>
      </c>
      <c r="E4" s="17" t="str">
        <f aca="false">CandidateSignalQueue!J6</f>
        <v>Positive</v>
      </c>
      <c r="F4" s="17" t="n">
        <f aca="false">CandidateSignalQueue!N6</f>
        <v>5</v>
      </c>
      <c r="G4" s="17" t="str">
        <f aca="false">CandidateSignalQueue!R6</f>
        <v>Queued</v>
      </c>
      <c r="H4" s="17" t="str">
        <f aca="false">CandidateSignalQueue!D6</f>
        <v>Payer bulletin</v>
      </c>
    </row>
    <row r="5" customFormat="false" ht="15" hidden="false" customHeight="true" outlineLevel="0" collapsed="false">
      <c r="A5" s="17" t="n">
        <f aca="false">CandidateSignalQueue!A7</f>
        <v>0</v>
      </c>
      <c r="B5" s="17" t="n">
        <f aca="false">CandidateSignalQueue!G7</f>
        <v>0</v>
      </c>
      <c r="C5" s="17" t="n">
        <f aca="false">CandidateSignalQueue!I7</f>
        <v>0</v>
      </c>
      <c r="D5" s="17" t="n">
        <f aca="false">CandidateSignalQueue!B7</f>
        <v>0</v>
      </c>
      <c r="E5" s="17" t="n">
        <f aca="false">CandidateSignalQueue!J7</f>
        <v>0</v>
      </c>
      <c r="F5" s="17" t="n">
        <f aca="false">CandidateSignalQueue!N7</f>
        <v>0</v>
      </c>
      <c r="G5" s="17" t="n">
        <f aca="false">CandidateSignalQueue!R7</f>
        <v>0</v>
      </c>
      <c r="H5" s="17" t="n">
        <f aca="false">CandidateSignalQueue!D7</f>
        <v>0</v>
      </c>
    </row>
    <row r="6" customFormat="false" ht="15" hidden="false" customHeight="true" outlineLevel="0" collapsed="false">
      <c r="A6" s="17" t="n">
        <f aca="false">CandidateSignalQueue!A8</f>
        <v>0</v>
      </c>
      <c r="B6" s="17" t="n">
        <f aca="false">CandidateSignalQueue!G8</f>
        <v>0</v>
      </c>
      <c r="C6" s="17" t="n">
        <f aca="false">CandidateSignalQueue!I8</f>
        <v>0</v>
      </c>
      <c r="D6" s="17" t="n">
        <f aca="false">CandidateSignalQueue!B8</f>
        <v>0</v>
      </c>
      <c r="E6" s="17" t="n">
        <f aca="false">CandidateSignalQueue!J8</f>
        <v>0</v>
      </c>
      <c r="F6" s="17" t="n">
        <f aca="false">CandidateSignalQueue!N8</f>
        <v>0</v>
      </c>
      <c r="G6" s="17" t="n">
        <f aca="false">CandidateSignalQueue!R8</f>
        <v>0</v>
      </c>
      <c r="H6" s="17" t="n">
        <f aca="false">CandidateSignalQueue!D8</f>
        <v>0</v>
      </c>
    </row>
    <row r="7" customFormat="false" ht="15" hidden="false" customHeight="true" outlineLevel="0" collapsed="false">
      <c r="A7" s="17"/>
      <c r="B7" s="17"/>
      <c r="C7" s="17"/>
      <c r="D7" s="17"/>
      <c r="E7" s="17"/>
      <c r="F7" s="17"/>
      <c r="G7" s="17"/>
      <c r="H7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6"/>
    <col collapsed="false" customWidth="true" hidden="false" outlineLevel="0" max="3" min="3" style="1" width="50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16"/>
  </cols>
  <sheetData>
    <row r="1" customFormat="false" ht="27.75" hidden="false" customHeight="true" outlineLevel="0" collapsed="false">
      <c r="A1" s="16" t="s">
        <v>689</v>
      </c>
      <c r="B1" s="16" t="s">
        <v>690</v>
      </c>
      <c r="C1" s="16" t="s">
        <v>691</v>
      </c>
      <c r="D1" s="16" t="s">
        <v>692</v>
      </c>
      <c r="E1" s="16" t="s">
        <v>693</v>
      </c>
      <c r="F1" s="16" t="s">
        <v>694</v>
      </c>
    </row>
    <row r="2" customFormat="false" ht="15" hidden="false" customHeight="true" outlineLevel="0" collapsed="false">
      <c r="A2" s="17" t="s">
        <v>695</v>
      </c>
      <c r="B2" s="17" t="str">
        <f aca="false">ActorAggregation!B10</f>
        <v>Academic KOLs</v>
      </c>
      <c r="C2" s="17" t="str">
        <f aca="false">InterpretationLayer!B8</f>
        <v>Target supportive actors and close remaining objections</v>
      </c>
      <c r="D2" s="17" t="s">
        <v>696</v>
      </c>
      <c r="E2" s="17" t="s">
        <v>16</v>
      </c>
      <c r="F2" s="17" t="str">
        <f aca="false">SignalRegister!A4</f>
        <v>CS-001</v>
      </c>
    </row>
    <row r="3" customFormat="false" ht="15" hidden="false" customHeight="true" outlineLevel="0" collapsed="false">
      <c r="A3" s="17" t="s">
        <v>697</v>
      </c>
      <c r="B3" s="17" t="str">
        <f aca="false">ActorAggregation!B11</f>
        <v>Competitor Counteraction</v>
      </c>
      <c r="C3" s="17" t="str">
        <f aca="false">IF(InterpretationLayer!B9="Yes","Route constraining objections to OHOS","Monitor")</f>
        <v>Route constraining objections to OHOS</v>
      </c>
      <c r="D3" s="17" t="s">
        <v>698</v>
      </c>
      <c r="E3" s="17" t="s">
        <v>16</v>
      </c>
      <c r="F3" s="17" t="str">
        <f aca="false">SignalRegister!A5</f>
        <v>CS-002</v>
      </c>
    </row>
    <row r="4" customFormat="false" ht="15" hidden="false" customHeight="true" outlineLevel="0" collapsed="false">
      <c r="A4" s="17" t="s">
        <v>699</v>
      </c>
      <c r="B4" s="17" t="s">
        <v>700</v>
      </c>
      <c r="C4" s="17" t="str">
        <f aca="false">IF(InterpretationLayer!B8="Yes","Refresh MIOS message architecture where flagged","No MIOS routing needed")</f>
        <v>No MIOS routing needed</v>
      </c>
      <c r="D4" s="17" t="s">
        <v>701</v>
      </c>
      <c r="E4" s="17" t="s">
        <v>25</v>
      </c>
      <c r="F4" s="17" t="str">
        <f aca="false">SignalRegister!A6</f>
        <v>CS-003</v>
      </c>
    </row>
    <row r="5" customFormat="false" ht="15" hidden="false" customHeight="true" outlineLevel="0" collapsed="false">
      <c r="A5" s="17"/>
      <c r="B5" s="17"/>
      <c r="C5" s="17"/>
      <c r="D5" s="17"/>
      <c r="E5" s="17"/>
      <c r="F5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40"/>
  </cols>
  <sheetData>
    <row r="1" customFormat="false" ht="27.75" hidden="false" customHeight="true" outlineLevel="0" collapsed="false">
      <c r="A1" s="16" t="s">
        <v>664</v>
      </c>
      <c r="B1" s="16" t="s">
        <v>55</v>
      </c>
      <c r="C1" s="16" t="s">
        <v>665</v>
      </c>
      <c r="D1" s="16" t="s">
        <v>666</v>
      </c>
      <c r="E1" s="16" t="s">
        <v>702</v>
      </c>
      <c r="F1" s="16" t="s">
        <v>703</v>
      </c>
      <c r="G1" s="16" t="s">
        <v>9</v>
      </c>
    </row>
    <row r="2" customFormat="false" ht="15" hidden="false" customHeight="true" outlineLevel="0" collapsed="false">
      <c r="A2" s="17" t="s">
        <v>669</v>
      </c>
      <c r="B2" s="17" t="str">
        <f aca="false">CaseHeader!B4</f>
        <v>CASE-001</v>
      </c>
      <c r="C2" s="19" t="n">
        <f aca="true">TODAY()</f>
        <v>46096</v>
      </c>
      <c r="D2" s="18" t="n">
        <f aca="false">ProbabilityEngine!B9</f>
        <v>0.59946998575947</v>
      </c>
      <c r="E2" s="17"/>
      <c r="F2" s="17" t="str">
        <f aca="false">IF(E2="","", (D2-E2)^2 )</f>
        <v/>
      </c>
      <c r="G2" s="17" t="s">
        <v>704</v>
      </c>
    </row>
    <row r="3" customFormat="false" ht="15" hidden="false" customHeight="true" outlineLevel="0" collapsed="false">
      <c r="A3" s="17"/>
      <c r="B3" s="17"/>
      <c r="C3" s="17"/>
      <c r="D3" s="17"/>
      <c r="E3" s="17"/>
      <c r="F3" s="17"/>
      <c r="G3" s="17"/>
    </row>
    <row r="4" customFormat="false" ht="15" hidden="false" customHeight="true" outlineLevel="0" collapsed="false">
      <c r="A4" s="17"/>
      <c r="B4" s="17"/>
      <c r="C4" s="17"/>
      <c r="D4" s="17"/>
      <c r="E4" s="17"/>
      <c r="F4" s="17"/>
      <c r="G4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28"/>
    <col collapsed="false" customWidth="true" hidden="false" outlineLevel="0" max="5" min="5" style="1" width="36"/>
  </cols>
  <sheetData>
    <row r="1" customFormat="false" ht="15" hidden="false" customHeight="true" outlineLevel="0" collapsed="false">
      <c r="A1" s="16" t="s">
        <v>55</v>
      </c>
      <c r="B1" s="16" t="s">
        <v>35</v>
      </c>
      <c r="C1" s="16" t="s">
        <v>705</v>
      </c>
      <c r="D1" s="16" t="s">
        <v>706</v>
      </c>
      <c r="E1" s="16" t="s">
        <v>9</v>
      </c>
    </row>
    <row r="2" customFormat="false" ht="15" hidden="false" customHeight="true" outlineLevel="0" collapsed="false">
      <c r="A2" s="17" t="str">
        <f aca="false">CaseHeader!B4</f>
        <v>CASE-001</v>
      </c>
      <c r="B2" s="19" t="n">
        <f aca="true">TODAY()</f>
        <v>46096</v>
      </c>
      <c r="C2" s="18" t="n">
        <f aca="false">ProbabilityEngine!B9</f>
        <v>0.59946998575947</v>
      </c>
      <c r="D2" s="17" t="s">
        <v>707</v>
      </c>
      <c r="E2" s="17" t="s">
        <v>708</v>
      </c>
    </row>
    <row r="3" customFormat="false" ht="15" hidden="false" customHeight="true" outlineLevel="0" collapsed="false">
      <c r="A3" s="17"/>
      <c r="B3" s="17"/>
      <c r="C3" s="17"/>
      <c r="D3" s="17"/>
      <c r="E3" s="17"/>
    </row>
    <row r="4" customFormat="false" ht="15" hidden="false" customHeight="true" outlineLevel="0" collapsed="false">
      <c r="A4" s="17"/>
      <c r="B4" s="17"/>
      <c r="C4" s="17"/>
      <c r="D4" s="17"/>
      <c r="E4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2026-03-13T21:47:33Z</dcterms:created>
  <dc:creator>openpyxl</dc:creator>
  <dc:description/>
  <dc:language>en-US</dc:language>
  <cp:lastModifiedBy/>
  <dcterms:modified xsi:type="dcterms:W3CDTF">2026-03-15T14:05:38Z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
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1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2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ables/table3.xml" ContentType="application/vnd.openxmlformats-officedocument.spreadsheetml.table+xml"/>
  <Override PartName="/xl/worksheets/sheet21.xml" ContentType="application/vnd.openxmlformats-officedocument.spreadsheetml.worksheet+xml"/>
  <Override PartName="/xl/comments2.xml" ContentType="application/vnd.openxmlformats-officedocument.spreadsheetml.comments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ables/table4.xml" ContentType="application/vnd.openxmlformats-officedocument.spreadsheetml.table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ables/table5.xml" ContentType="application/vnd.openxmlformats-officedocument.spreadsheetml.table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ables/table6.xml" ContentType="application/vnd.openxmlformats-officedocument.spreadsheetml.table+xml"/>
  <Override PartName="/xl/worksheets/sheet36.xml" ContentType="application/vnd.openxmlformats-officedocument.spreadsheetml.worksheet+xml"/>
  <Override PartName="/xl/tables/table7.xml" ContentType="application/vnd.openxmlformats-officedocument.spreadsheetml.table+xml"/>
  <Override PartName="/xl/worksheets/sheet37.xml" ContentType="application/vnd.openxmlformats-officedocument.spreadsheetml.worksheet+xml"/>
  <Override PartName="/xl/tables/table8.xml" ContentType="application/vnd.openxmlformats-officedocument.spreadsheetml.table+xml"/>
  <Override PartName="/xl/worksheets/sheet38.xml" ContentType="application/vnd.openxmlformats-officedocument.spreadsheetml.worksheet+xml"/>
  <Override PartName="/xl/tables/table9.xml" ContentType="application/vnd.openxmlformats-officedocument.spreadsheetml.table+xml"/>
  <Override PartName="/xl/worksheets/sheet39.xml" ContentType="application/vnd.openxmlformats-officedocument.spreadsheetml.worksheet+xml"/>
  <Override PartName="/xl/tables/table10.xml" ContentType="application/vnd.openxmlformats-officedocument.spreadsheetml.table+xml"/>
  <Override PartName="/xl/worksheets/sheet40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43fb8e09ee4e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5204a36d9e34319"/>
    <x:sheet xmlns:r="http://schemas.openxmlformats.org/officeDocument/2006/relationships" name="Program_Header" sheetId="2" r:id="R0a68c57125ea4096"/>
    <x:sheet xmlns:r="http://schemas.openxmlformats.org/officeDocument/2006/relationships" name="Belief_Shift_Canvas" sheetId="3" r:id="R920f2604c5a9451c"/>
    <x:sheet xmlns:r="http://schemas.openxmlformats.org/officeDocument/2006/relationships" name="Gap_Dimension_Lookup" sheetId="4" r:id="R06f84b49ead84c8c"/>
    <x:sheet xmlns:r="http://schemas.openxmlformats.org/officeDocument/2006/relationships" name="SubBelief_Type_Lookup" sheetId="5" r:id="R5ab85ea6463a46f2"/>
    <x:sheet xmlns:r="http://schemas.openxmlformats.org/officeDocument/2006/relationships" name="Statement_Type_Lookup" sheetId="6" r:id="R9caed0647b284cd8"/>
    <x:sheet xmlns:r="http://schemas.openxmlformats.org/officeDocument/2006/relationships" name="Evidence_Rule_Lookup" sheetId="7" r:id="R1aee19c6d4834be2"/>
    <x:sheet xmlns:r="http://schemas.openxmlformats.org/officeDocument/2006/relationships" name="Section_Type_Lookup" sheetId="8" r:id="R57bd16771df74f0f"/>
    <x:sheet xmlns:r="http://schemas.openxmlformats.org/officeDocument/2006/relationships" name="Directness_Scale_Lookup" sheetId="9" r:id="Rd3b08b7829e14ae6"/>
    <x:sheet xmlns:r="http://schemas.openxmlformats.org/officeDocument/2006/relationships" name="Hedging_Terms_Lookup" sheetId="10" r:id="Rfdc3415382af4379"/>
    <x:sheet xmlns:r="http://schemas.openxmlformats.org/officeDocument/2006/relationships" name="Rejection_Rules" sheetId="11" r:id="R6f25bd50258d450c"/>
    <x:sheet xmlns:r="http://schemas.openxmlformats.org/officeDocument/2006/relationships" name="Match_Scoring_Rules" sheetId="12" r:id="R400e038621d34385"/>
    <x:sheet xmlns:r="http://schemas.openxmlformats.org/officeDocument/2006/relationships" name="Belief_to_Statement_Engine" sheetId="13" r:id="R8eff42d2c8254096"/>
    <x:sheet xmlns:r="http://schemas.openxmlformats.org/officeDocument/2006/relationships" name="Statement_Blueprint" sheetId="14" r:id="R96382c28907c4e22"/>
    <x:sheet xmlns:r="http://schemas.openxmlformats.org/officeDocument/2006/relationships" name="Extraction_Contract" sheetId="15" r:id="R9ecc05d7c34340ef"/>
    <x:sheet xmlns:r="http://schemas.openxmlformats.org/officeDocument/2006/relationships" name="Acquisition_List" sheetId="16" r:id="R6ef05e9c37ed4385"/>
    <x:sheet xmlns:r="http://schemas.openxmlformats.org/officeDocument/2006/relationships" name="Candidate_Evidence" sheetId="17" r:id="R9c62a7d769c84779"/>
    <x:sheet xmlns:r="http://schemas.openxmlformats.org/officeDocument/2006/relationships" name="Validation_Log" sheetId="18" r:id="R121ec51935684f26"/>
    <x:sheet xmlns:r="http://schemas.openxmlformats.org/officeDocument/2006/relationships" name="Validation_Engine" sheetId="19" r:id="R910afa00cd3d4e77"/>
    <x:sheet xmlns:r="http://schemas.openxmlformats.org/officeDocument/2006/relationships" name="Evidence_Register" sheetId="20" r:id="R7097c066bd2f4e86"/>
    <x:sheet xmlns:r="http://schemas.openxmlformats.org/officeDocument/2006/relationships" name="Medical_Map_Output" sheetId="21" r:id="R244975d74c8e41bb"/>
    <x:sheet xmlns:r="http://schemas.openxmlformats.org/officeDocument/2006/relationships" name="MIOS_to_OHOS_Interface" sheetId="22" r:id="Rc82c8d7f05af49c3"/>
    <x:sheet xmlns:r="http://schemas.openxmlformats.org/officeDocument/2006/relationships" name="MIOS_to_CIOS_Interface" sheetId="23" r:id="R04c4f68865b249c5"/>
    <x:sheet xmlns:r="http://schemas.openxmlformats.org/officeDocument/2006/relationships" name="Worked_Example_Program" sheetId="24" r:id="R87e9541fb20b4dcc"/>
    <x:sheet xmlns:r="http://schemas.openxmlformats.org/officeDocument/2006/relationships" name="Evidence_Strength_Lookup" sheetId="25" r:id="R3fb3dff550a44472"/>
    <x:sheet xmlns:r="http://schemas.openxmlformats.org/officeDocument/2006/relationships" name="Interface_Routing_Rules" sheetId="26" r:id="R126f2d0df8c34679"/>
    <x:sheet xmlns:r="http://schemas.openxmlformats.org/officeDocument/2006/relationships" name="System_Gating_Rules" sheetId="27" r:id="Rdd201162687347f1"/>
    <x:sheet xmlns:r="http://schemas.openxmlformats.org/officeDocument/2006/relationships" name="BAOS_Cluster_Lookup" sheetId="28" r:id="R9de63dcab1bb4e90"/>
    <x:sheet xmlns:r="http://schemas.openxmlformats.org/officeDocument/2006/relationships" name="BAOS_Lens_Library" sheetId="29" r:id="R890fd8323f694ecd"/>
    <x:sheet xmlns:r="http://schemas.openxmlformats.org/officeDocument/2006/relationships" name="BAOS_Engine" sheetId="30" r:id="Rdd05244976984906"/>
    <x:sheet xmlns:r="http://schemas.openxmlformats.org/officeDocument/2006/relationships" name="BAOS_Wall" sheetId="31" r:id="Rb8572fef24344130"/>
    <x:sheet xmlns:r="http://schemas.openxmlformats.org/officeDocument/2006/relationships" name="BAOS_ClaimType_Lens_Map" sheetId="32" r:id="Re97c759194174ed6"/>
    <x:sheet xmlns:r="http://schemas.openxmlformats.org/officeDocument/2006/relationships" name="Cross_System_Feedback_Loop" sheetId="33" r:id="Rcb0f2677480d4569"/>
    <x:sheet xmlns:r="http://schemas.openxmlformats.org/officeDocument/2006/relationships" name="CIOS_Run_Guide" sheetId="34" r:id="R3feac88a7fde4b17"/>
    <x:sheet xmlns:r="http://schemas.openxmlformats.org/officeDocument/2006/relationships" name="Belief_Bridge" sheetId="35" r:id="Rb3ad8f842f394c70"/>
    <x:sheet xmlns:r="http://schemas.openxmlformats.org/officeDocument/2006/relationships" name="Evidence_Interpretation" sheetId="36" r:id="Rf324e1bd48a54626"/>
    <x:sheet xmlns:r="http://schemas.openxmlformats.org/officeDocument/2006/relationships" name="BAOS_Profile" sheetId="37" r:id="R8ff708a424ce4110"/>
    <x:sheet xmlns:r="http://schemas.openxmlformats.org/officeDocument/2006/relationships" name="CIOS_Signal_Export" sheetId="38" r:id="Rc00c2582c60f48e7"/>
    <x:sheet xmlns:r="http://schemas.openxmlformats.org/officeDocument/2006/relationships" name="Traceability_Map" sheetId="39" r:id="Reb1735e1f7fd458f"/>
    <x:sheet xmlns:r="http://schemas.openxmlformats.org/officeDocument/2006/relationships" name="CIOS_Readiness" sheetId="40" r:id="Rde1242c6e3ce4641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A2" authorId="0">
      <x:text>
        <x:r>
          <x:t>Populate or tune these thresholds before production deployment. They are the core validation rules.</x:t>
        </x:r>
      </x:text>
    </x:comment>
  </x:commentList>
</x:comments>
</file>

<file path=xl/comments2.xml><?xml version="1.0" encoding="utf-8"?>
<x:comments xmlns:x="http://schemas.openxmlformats.org/spreadsheetml/2006/main">
  <x:authors>
    <x:author>OpenAI</x:author>
  </x:authors>
  <x:commentList>
    <x:comment ref="I2" authorId="0">
      <x:text>
        <x:r>
          <x:t>OutputGate must remain Hold unless at least one validated evidence record exists for the StatementID.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32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1"/>
      <x:color rgb="FFFFFF"/>
      <x:name val="Cambria"/>
    </x:font>
    <x:font>
      <x:b/>
      <x:sz val="11"/>
      <x:color rgb="1F1F1F"/>
      <x:name val="Cambria"/>
    </x:font>
    <x:font>
      <x:sz val="10"/>
      <x:name val="Arial"/>
    </x:font>
    <x:font>
      <x:b/>
      <x:color rgb="FFFFFF"/>
    </x:font>
    <x:font>
      <x:b/>
    </x:font>
    <x:font>
      <x:b/>
      <x:sz val="11"/>
      <x:color rgb="F3F4F6"/>
      <x:name val="Calibri"/>
    </x:font>
    <x:font>
      <x:sz val="11"/>
      <x:color rgb="F3F4F6"/>
      <x:name val="Calibri"/>
    </x:font>
    <x:font>
      <x:b/>
      <x:sz val="12"/>
      <x:color rgb="E5B93C"/>
      <x:name val="Calibri"/>
    </x:font>
    <x:font>
      <x:b/>
      <x:sz val="26"/>
      <x:color rgb="F3F4F6"/>
      <x:name val="Calibri"/>
    </x:font>
    <x:font>
      <x:sz val="16"/>
      <x:color rgb="F3F4F6"/>
      <x:name val="Calibri"/>
    </x:font>
    <x:font>
      <x:b/>
      <x:sz val="15"/>
      <x:color rgb="17B7C8"/>
      <x:name val="Calibri"/>
    </x:font>
    <x:font>
      <x:b/>
      <x:sz val="15"/>
      <x:color rgb="1E8A64"/>
      <x:name val="Calibri"/>
    </x:font>
    <x:font>
      <x:b/>
      <x:sz val="15"/>
      <x:color rgb="D94B3D"/>
      <x:name val="Calibri"/>
    </x:font>
    <x:font>
      <x:b/>
      <x:sz val="15"/>
      <x:color rgb="A855F7"/>
      <x:name val="Calibri"/>
    </x:font>
    <x:font>
      <x:b/>
      <x:sz val="15"/>
      <x:color rgb="E5B93C"/>
      <x:name val="Calibri"/>
    </x:font>
    <x:font>
      <x:sz val="13"/>
      <x:color rgb="F3F4F6"/>
      <x:name val="Calibri"/>
    </x:font>
    <x:font>
      <x:b/>
      <x:sz val="22"/>
      <x:color rgb="17B7C8"/>
      <x:name val="Calibri"/>
    </x:font>
    <x:font>
      <x:sz val="14"/>
      <x:color rgb="F3F4F6"/>
      <x:name val="Calibri"/>
    </x:font>
    <x:font>
      <x:sz val="18"/>
      <x:color rgb="17B7C8"/>
      <x:name val="Calibri"/>
    </x:font>
    <x:font>
      <x:b/>
      <x:sz val="11"/>
      <x:color rgb="E5B93C"/>
      <x:name val="Calibri"/>
    </x:font>
    <x:font>
      <x:i/>
      <x:sz val="11"/>
      <x:color rgb="AAB7D1"/>
      <x:name val="Calibri"/>
    </x:font>
    <x:font>
      <x:b/>
      <x:sz val="11"/>
      <x:color rgb="FFFFFF"/>
      <x:name val="Calibri"/>
    </x:font>
    <x:font>
      <x:b/>
      <x:sz val="11"/>
      <x:color theme="1"/>
      <x:name val="Calibri"/>
    </x:font>
    <x:font>
      <x:b/>
      <x:sz val="14"/>
      <x:color rgb="FFFFFF"/>
      <x:name val="Calibri"/>
    </x:font>
    <x:font>
      <x:i/>
      <x:sz val="11"/>
      <x:color rgb="134E4A"/>
      <x:name val="Calibri"/>
    </x:font>
    <x:font>
      <x:sz val="11"/>
      <x:color rgb="111827"/>
      <x:name val="Calibri"/>
    </x:font>
    <x:font>
      <x:b/>
      <x:sz val="14"/>
      <x:color rgb="FFFFFF"/>
      <x:name val="Cambria"/>
    </x:font>
    <x:font>
      <x:b/>
      <x:sz val="14"/>
      <x:color rgb="FFFFFF"/>
    </x:font>
  </x:fonts>
  <x:fills count="23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EDE7F6"/>
      </x:patternFill>
    </x:fill>
    <x:fill>
      <x:patternFill patternType="solid">
        <x:fgColor rgb="E2F0D9"/>
      </x:patternFill>
    </x:fill>
    <x:fill>
      <x:patternFill patternType="solid">
        <x:fgColor rgb="FFF2CC"/>
      </x:patternFill>
    </x:fill>
    <x:fill>
      <x:patternFill patternType="solid">
        <x:fgColor rgb="FCE4D6"/>
      </x:patternFill>
    </x:fill>
    <x:fill>
      <x:patternFill patternType="solid">
        <x:fgColor rgb="D9EAF7"/>
      </x:patternFill>
    </x:fill>
    <x:fill>
      <x:patternFill patternType="solid">
        <x:fgColor rgb="1F4E78"/>
      </x:patternFill>
    </x:fill>
    <x:fill>
      <x:patternFill patternType="solid">
        <x:fgColor rgb="10294D"/>
      </x:patternFill>
    </x:fill>
    <x:fill>
      <x:patternFill patternType="solid">
        <x:fgColor rgb="0E2343"/>
      </x:patternFill>
    </x:fill>
    <x:fill>
      <x:patternFill patternType="solid">
        <x:fgColor rgb="07152B"/>
      </x:patternFill>
    </x:fill>
    <x:fill>
      <x:patternFill patternType="solid">
        <x:fgColor rgb="1A2345"/>
      </x:patternFill>
    </x:fill>
    <x:fill>
      <x:patternFill patternType="solid">
        <x:fgColor rgb="123B6D"/>
      </x:patternFill>
    </x:fill>
    <x:fill>
      <x:patternFill patternType="solid">
        <x:fgColor rgb="0F766E"/>
      </x:patternFill>
    </x:fill>
    <x:fill>
      <x:patternFill patternType="solid">
        <x:fgColor rgb="0B3B66"/>
      </x:patternFill>
    </x:fill>
    <x:fill>
      <x:patternFill patternType="solid">
        <x:fgColor rgb="312E81"/>
      </x:patternFill>
    </x:fill>
    <x:fill>
      <x:patternFill patternType="solid">
        <x:fgColor rgb="0B1F3A"/>
      </x:patternFill>
    </x:fill>
    <x:fill>
      <x:patternFill patternType="solid">
        <x:fgColor rgb="1F2937"/>
      </x:patternFill>
    </x:fill>
    <x:fill>
      <x:patternFill patternType="solid">
        <x:fgColor rgb="134E4A"/>
      </x:patternFill>
    </x:fill>
    <x:fill>
      <x:patternFill patternType="solid">
        <x:fgColor rgb="CCFBF1"/>
      </x:patternFill>
    </x:fill>
    <x:fill>
      <x:patternFill patternType="solid">
        <x:fgColor rgb="0F766E"/>
      </x:patternFill>
    </x:fill>
    <x:fill>
      <x:patternFill patternType="solid">
        <x:fgColor rgb="FFFFFF"/>
      </x:patternFill>
    </x:fill>
  </x:fills>
  <x:borders count="15">
    <x:border/>
    <x:border>
      <x:left style="thin">
        <x:color rgb="D9D9D9"/>
      </x:left>
      <x:right style="thin">
        <x:color rgb="D9D9D9"/>
      </x:right>
      <x:top style="thin">
        <x:color rgb="D9D9D9"/>
      </x:top>
      <x:bottom style="thin">
        <x:color rgb="D9D9D9"/>
      </x:bottom>
    </x:border>
    <x:border>
      <x:left style="thin">
        <x:color rgb="D1D5DB"/>
      </x:left>
      <x:top style="thin">
        <x:color rgb="D1D5DB"/>
      </x:top>
      <x:bottom style="thin">
        <x:color rgb="D1D5DB"/>
      </x:bottom>
    </x:border>
    <x:border>
      <x:right style="thin">
        <x:color rgb="D1D5DB"/>
      </x:right>
      <x:top style="thin">
        <x:color rgb="D1D5DB"/>
      </x:top>
      <x:bottom style="thin">
        <x:color rgb="D1D5DB"/>
      </x:bottom>
    </x:border>
    <x:border>
      <x:left style="thin">
        <x:color rgb="D1D5DB"/>
      </x:left>
      <x:top style="thin">
        <x:color rgb="D1D5DB"/>
      </x:top>
    </x:border>
    <x:border>
      <x:right style="thin">
        <x:color rgb="D1D5DB"/>
      </x:right>
      <x:top style="thin">
        <x:color rgb="D1D5DB"/>
      </x:top>
    </x:border>
    <x:border>
      <x:left style="thin">
        <x:color rgb="D1D5DB"/>
      </x:left>
    </x:border>
    <x:border>
      <x:right style="thin">
        <x:color rgb="D1D5DB"/>
      </x:right>
    </x:border>
    <x:border>
      <x:left style="thin">
        <x:color rgb="D1D5DB"/>
      </x:left>
      <x:bottom style="thin">
        <x:color rgb="D1D5DB"/>
      </x:bottom>
    </x:border>
    <x:border>
      <x:right style="thin">
        <x:color rgb="D1D5DB"/>
      </x:right>
      <x:bottom style="thin">
        <x:color rgb="D1D5DB"/>
      </x:bottom>
    </x:border>
    <x:border>
      <x:top style="thin">
        <x:color rgb="D1D5DB"/>
      </x:top>
      <x:bottom style="thin">
        <x:color rgb="D1D5DB"/>
      </x:bottom>
    </x:border>
    <x:border>
      <x:top style="thin">
        <x:color rgb="D1D5DB"/>
      </x:top>
    </x:border>
    <x:border>
      <x:bottom style="thin">
        <x:color rgb="D1D5DB"/>
      </x:bottom>
    </x:border>
    <x:border>
      <x:left style="thin">
        <x:color rgb="D1D5DB"/>
      </x:left>
      <x:right style="thin">
        <x:color rgb="D9D9D9"/>
      </x:right>
      <x:top style="thin">
        <x:color rgb="D1D5DB"/>
      </x:top>
      <x:bottom style="thin">
        <x:color rgb="D1D5DB"/>
      </x:bottom>
    </x:border>
    <x:border>
      <x:left style="thin">
        <x:color rgb="D9D9D9"/>
      </x:left>
      <x:right style="thin">
        <x:color rgb="D9D9D9"/>
      </x:right>
      <x:top style="thin">
        <x:color rgb="D1D5DB"/>
      </x:top>
      <x:bottom style="thin">
        <x:color rgb="D1D5DB"/>
      </x:bottom>
    </x:border>
  </x:borders>
  <x:cellStyleXfs count="6">
    <x:xf numFmtId="0" fontId="0" fillId="0" borderId="0" applyAlignment="1">
      <x:alignment horizontal="general" vertical="bottom"/>
    </x:xf>
    <x:xf numFmtId="43" fontId="3" fillId="0" borderId="0"/>
    <x:xf numFmtId="41" fontId="3" fillId="0" borderId="0"/>
    <x:xf numFmtId="44" fontId="3" fillId="0" borderId="0"/>
    <x:xf numFmtId="42" fontId="3" fillId="0" borderId="0"/>
    <x:xf numFmtId="9" fontId="3" fillId="0" borderId="0"/>
  </x:cellStyleXfs>
  <x:cellXfs count="190">
    <x:xf numFmtId="0" fontId="0" fillId="0" borderId="0" xfId="0" applyAlignment="1">
      <x:alignment horizontal="general" vertical="bottom"/>
    </x:xf>
    <x:xf numFmtId="0" fontId="4" fillId="2" borderId="0" xfId="0" applyAlignment="1">
      <x:alignment horizontal="general" vertical="top" wrapText="1"/>
    </x:xf>
    <x:xf numFmtId="0" fontId="0" fillId="0" borderId="0" xfId="0" applyAlignment="1">
      <x:alignment horizontal="general" vertical="top" wrapText="1"/>
    </x:xf>
    <x:xf numFmtId="0" fontId="5" fillId="0" borderId="1" xfId="0" applyAlignment="1">
      <x:alignment horizontal="general" vertical="top" wrapText="1"/>
    </x:xf>
    <x:xf numFmtId="0" fontId="0" fillId="0" borderId="1" xfId="0" applyAlignment="1">
      <x:alignment horizontal="general" vertical="top" wrapText="1"/>
    </x:xf>
    <x:xf numFmtId="0" fontId="4" fillId="2" borderId="1" xfId="0" applyAlignment="1">
      <x:alignment horizontal="general" vertical="top" wrapText="1"/>
    </x:xf>
    <x:xf numFmtId="0" fontId="4" fillId="3" borderId="1" xfId="0" applyAlignment="1">
      <x:alignment horizontal="general" vertical="top" wrapText="1"/>
    </x:xf>
    <x:xf numFmtId="0" fontId="0" fillId="4" borderId="1" xfId="0" applyAlignment="1">
      <x:alignment horizontal="general" vertical="top" wrapText="1"/>
    </x:xf>
    <x:xf numFmtId="0" fontId="0" fillId="5" borderId="1" xfId="0" applyAlignment="1">
      <x:alignment horizontal="general" vertical="top" wrapText="1"/>
    </x:xf>
    <x:xf numFmtId="0" fontId="0" fillId="6" borderId="1" xfId="0" applyAlignment="1">
      <x:alignment horizontal="general" vertical="top" wrapText="1"/>
    </x:xf>
    <x:xf numFmtId="0" fontId="4" fillId="7" borderId="1" xfId="0" applyAlignment="1">
      <x:alignment horizontal="general" vertical="top" wrapText="1"/>
    </x:xf>
    <x:xf numFmtId="0" fontId="0" fillId="0" borderId="0" xfId="0" applyAlignment="1">
      <x:alignment horizontal="general" vertical="bottom"/>
    </x:xf>
    <x:xf numFmtId="0" fontId="0" fillId="0" borderId="0" xfId="0"/>
    <x:xf numFmtId="0" fontId="7" fillId="8" borderId="0" xfId="0" applyAlignment="1">
      <x:alignment horizontal="center" vertical="center" wrapText="1"/>
    </x:xf>
    <x:xf numFmtId="0" fontId="0" fillId="0" borderId="0" xfId="0" applyAlignment="1">
      <x:alignment horizontal="general" vertical="top" wrapText="1"/>
    </x:xf>
    <x:xf numFmtId="0" fontId="8" fillId="0" borderId="1" xfId="0" applyAlignment="1">
      <x:alignment horizontal="general" vertical="top" wrapText="1"/>
    </x:xf>
    <x:xf numFmtId="0" fontId="0" fillId="0" borderId="1" xfId="0" applyAlignment="1">
      <x:alignment horizontal="general" vertical="top" wrapText="1"/>
    </x:xf>
    <x:xf numFmtId="0" fontId="5" fillId="0" borderId="1" xfId="0" applyAlignment="1">
      <x:alignment horizontal="general" vertical="top" wrapText="1"/>
    </x:xf>
    <x:xf numFmtId="0" fontId="8" fillId="0" borderId="0" xfId="0"/>
    <x:xf numFmtId="0" fontId="4" fillId="2" borderId="1" xfId="0" applyAlignment="1">
      <x:alignment horizontal="general" vertical="top" wrapText="1"/>
    </x:xf>
    <x:xf numFmtId="0" fontId="4" fillId="3" borderId="1" xfId="0" applyAlignment="1">
      <x:alignment horizontal="general" vertical="top" wrapText="1"/>
    </x:xf>
    <x:xf numFmtId="0" fontId="7" fillId="8" borderId="1" xfId="0" applyAlignment="1">
      <x:alignment horizontal="center" vertical="center" wrapText="1"/>
    </x:xf>
    <x:xf numFmtId="0" fontId="0" fillId="4" borderId="1" xfId="0" applyAlignment="1">
      <x:alignment horizontal="general" vertical="top" wrapText="1"/>
    </x:xf>
    <x:xf numFmtId="0" fontId="0" fillId="5" borderId="1" xfId="0" applyAlignment="1">
      <x:alignment horizontal="general" vertical="top" wrapText="1"/>
    </x:xf>
    <x:xf numFmtId="0" fontId="0" fillId="6" borderId="1" xfId="0" applyAlignment="1">
      <x:alignment horizontal="general" vertical="top" wrapText="1"/>
    </x:xf>
    <x:xf numFmtId="0" fontId="4" fillId="7" borderId="1" xfId="0" applyAlignment="1">
      <x:alignment horizontal="general" vertical="top" wrapText="1"/>
    </x:xf>
    <x:xf numFmtId="0" fontId="0" fillId="9" borderId="0" xfId="0" applyNumberFormat="1" applyFont="1" applyFill="1" applyBorder="1" applyAlignment="1">
      <x:alignment horizontal="general" vertical="bottom"/>
    </x:xf>
    <x:xf numFmtId="0" fontId="9" fillId="9" borderId="0" xfId="0" applyNumberFormat="1" applyFont="1" applyFill="1" applyBorder="1" applyAlignment="1">
      <x:alignment horizontal="general" vertical="bottom"/>
    </x:xf>
    <x:xf numFmtId="0" fontId="9" fillId="9" borderId="0" xfId="0" applyNumberFormat="1" applyFont="1" applyFill="1" applyBorder="1" applyAlignment="1">
      <x:alignment horizontal="general" vertical="bottom" wrapText="1"/>
    </x:xf>
    <x:xf numFmtId="0" fontId="9" fillId="9" borderId="0" xfId="0" applyNumberFormat="1" applyFont="1" applyFill="1" applyBorder="1" applyAlignment="1">
      <x:alignment horizontal="center" vertical="bottom" wrapText="1"/>
    </x:xf>
    <x:xf numFmtId="0" fontId="0" fillId="10" borderId="0" xfId="0" applyNumberFormat="1" applyFont="1" applyFill="1" applyBorder="1" applyAlignment="1">
      <x:alignment horizontal="general" vertical="bottom"/>
    </x:xf>
    <x:xf numFmtId="0" fontId="10" fillId="10" borderId="0" xfId="0" applyNumberFormat="1" applyFont="1" applyFill="1" applyBorder="1" applyAlignment="1">
      <x:alignment horizontal="general" vertical="bottom"/>
    </x:xf>
    <x:xf numFmtId="0" fontId="10" fillId="10" borderId="0" xfId="0" applyNumberFormat="1" applyFont="1" applyFill="1" applyBorder="1" applyAlignment="1">
      <x:alignment horizontal="general" vertical="bottom" wrapText="1"/>
    </x:xf>
    <x:xf numFmtId="0" fontId="10" fillId="10" borderId="0" xfId="0" applyNumberFormat="1" applyFont="1" applyFill="1" applyBorder="1" applyAlignment="1">
      <x:alignment horizontal="general" vertical="top" wrapText="1"/>
    </x:xf>
    <x:xf numFmtId="0" fontId="0" fillId="11" borderId="0" xfId="0" applyNumberFormat="1" applyFont="1" applyFill="1" applyBorder="1" applyAlignment="1">
      <x:alignment horizontal="general" vertical="bottom"/>
    </x:xf>
    <x:xf numFmtId="0" fontId="10" fillId="11" borderId="0" xfId="0" applyNumberFormat="1" applyFont="1" applyFill="1" applyBorder="1" applyAlignment="1">
      <x:alignment horizontal="general" vertical="bottom"/>
    </x:xf>
    <x:xf numFmtId="0" fontId="11" fillId="11" borderId="0" xfId="0" applyNumberFormat="1" applyFont="1" applyFill="1" applyBorder="1" applyAlignment="1">
      <x:alignment horizontal="general" vertical="bottom"/>
    </x:xf>
    <x:xf numFmtId="0" fontId="11" fillId="11" borderId="0" xfId="0" applyNumberFormat="1" applyFont="1" applyFill="1" applyBorder="1" applyAlignment="1">
      <x:alignment horizontal="left" vertical="bottom"/>
    </x:xf>
    <x:xf numFmtId="0" fontId="12" fillId="11" borderId="0" xfId="0" applyNumberFormat="1" applyFont="1" applyFill="1" applyBorder="1" applyAlignment="1">
      <x:alignment horizontal="general" vertical="bottom"/>
    </x:xf>
    <x:xf numFmtId="0" fontId="12" fillId="11" borderId="0" xfId="0" applyNumberFormat="1" applyFont="1" applyFill="1" applyBorder="1" applyAlignment="1">
      <x:alignment horizontal="general" vertical="center"/>
    </x:xf>
    <x:xf numFmtId="0" fontId="13" fillId="11" borderId="0" xfId="0" applyNumberFormat="1" applyFont="1" applyFill="1" applyBorder="1" applyAlignment="1">
      <x:alignment horizontal="general" vertical="bottom"/>
    </x:xf>
    <x:xf numFmtId="0" fontId="14" fillId="10" borderId="0" xfId="0" applyNumberFormat="1" applyFont="1" applyFill="1" applyBorder="1" applyAlignment="1">
      <x:alignment horizontal="general" vertical="bottom" wrapText="1"/>
    </x:xf>
    <x:xf numFmtId="0" fontId="14" fillId="10" borderId="0" xfId="0" applyNumberFormat="1" applyFont="1" applyFill="1" applyBorder="1" applyAlignment="1">
      <x:alignment horizontal="general" vertical="top" wrapText="1"/>
    </x:xf>
    <x:xf numFmtId="0" fontId="15" fillId="10" borderId="0" xfId="0" applyNumberFormat="1" applyFont="1" applyFill="1" applyBorder="1" applyAlignment="1">
      <x:alignment horizontal="general" vertical="bottom" wrapText="1"/>
    </x:xf>
    <x:xf numFmtId="0" fontId="15" fillId="10" borderId="0" xfId="0" applyNumberFormat="1" applyFont="1" applyFill="1" applyBorder="1" applyAlignment="1">
      <x:alignment horizontal="general" vertical="top" wrapText="1"/>
    </x:xf>
    <x:xf numFmtId="0" fontId="16" fillId="10" borderId="0" xfId="0" applyNumberFormat="1" applyFont="1" applyFill="1" applyBorder="1" applyAlignment="1">
      <x:alignment horizontal="general" vertical="bottom" wrapText="1"/>
    </x:xf>
    <x:xf numFmtId="0" fontId="16" fillId="10" borderId="0" xfId="0" applyNumberFormat="1" applyFont="1" applyFill="1" applyBorder="1" applyAlignment="1">
      <x:alignment horizontal="general" vertical="top" wrapText="1"/>
    </x:xf>
    <x:xf numFmtId="0" fontId="17" fillId="10" borderId="0" xfId="0" applyNumberFormat="1" applyFont="1" applyFill="1" applyBorder="1" applyAlignment="1">
      <x:alignment horizontal="general" vertical="bottom" wrapText="1"/>
    </x:xf>
    <x:xf numFmtId="0" fontId="17" fillId="10" borderId="0" xfId="0" applyNumberFormat="1" applyFont="1" applyFill="1" applyBorder="1" applyAlignment="1">
      <x:alignment horizontal="general" vertical="top" wrapText="1"/>
    </x:xf>
    <x:xf numFmtId="0" fontId="18" fillId="10" borderId="0" xfId="0" applyNumberFormat="1" applyFont="1" applyFill="1" applyBorder="1" applyAlignment="1">
      <x:alignment horizontal="general" vertical="bottom" wrapText="1"/>
    </x:xf>
    <x:xf numFmtId="0" fontId="18" fillId="10" borderId="0" xfId="0" applyNumberFormat="1" applyFont="1" applyFill="1" applyBorder="1" applyAlignment="1">
      <x:alignment horizontal="general" vertical="top" wrapText="1"/>
    </x:xf>
    <x:xf numFmtId="0" fontId="19" fillId="10" borderId="0" xfId="0" applyNumberFormat="1" applyFont="1" applyFill="1" applyBorder="1" applyAlignment="1">
      <x:alignment horizontal="general" vertical="bottom" wrapText="1"/>
    </x:xf>
    <x:xf numFmtId="0" fontId="20" fillId="10" borderId="0" xfId="0" applyNumberFormat="1" applyFont="1" applyFill="1" applyBorder="1" applyAlignment="1">
      <x:alignment horizontal="general" vertical="bottom"/>
    </x:xf>
    <x:xf numFmtId="0" fontId="20" fillId="10" borderId="0" xfId="0" applyNumberFormat="1" applyFont="1" applyFill="1" applyBorder="1" applyAlignment="1">
      <x:alignment horizontal="center" vertical="bottom"/>
    </x:xf>
    <x:xf numFmtId="0" fontId="21" fillId="10" borderId="0" xfId="0" applyNumberFormat="1" applyFont="1" applyFill="1" applyBorder="1" applyAlignment="1">
      <x:alignment horizontal="general" vertical="bottom"/>
    </x:xf>
    <x:xf numFmtId="0" fontId="22" fillId="10" borderId="0" xfId="0" applyNumberFormat="1" applyFont="1" applyFill="1" applyBorder="1" applyAlignment="1">
      <x:alignment horizontal="general" vertical="bottom"/>
    </x:xf>
    <x:xf numFmtId="0" fontId="22" fillId="10" borderId="0" xfId="0" applyNumberFormat="1" applyFont="1" applyFill="1" applyBorder="1" applyAlignment="1">
      <x:alignment horizontal="center" vertical="bottom"/>
    </x:xf>
    <x:xf numFmtId="0" fontId="22" fillId="10" borderId="0" xfId="0" applyNumberFormat="1" applyFont="1" applyFill="1" applyBorder="1" applyAlignment="1">
      <x:alignment horizontal="center" vertical="center"/>
    </x:xf>
    <x:xf numFmtId="0" fontId="10" fillId="12" borderId="0" xfId="0" applyNumberFormat="1" applyFont="1" applyFill="1" applyBorder="1" applyAlignment="1">
      <x:alignment horizontal="general" vertical="bottom"/>
    </x:xf>
    <x:xf numFmtId="0" fontId="23" fillId="12" borderId="0" xfId="0" applyNumberFormat="1" applyFont="1" applyFill="1" applyBorder="1" applyAlignment="1">
      <x:alignment horizontal="general" vertical="bottom"/>
    </x:xf>
    <x:xf numFmtId="0" fontId="23" fillId="12" borderId="0" xfId="0" applyNumberFormat="1" applyFont="1" applyFill="1" applyBorder="1" applyAlignment="1">
      <x:alignment horizontal="general" vertical="bottom" wrapText="1"/>
    </x:xf>
    <x:xf numFmtId="0" fontId="24" fillId="11" borderId="0" xfId="0" applyNumberFormat="1" applyFont="1" applyFill="1" applyBorder="1" applyAlignment="1">
      <x:alignment horizontal="general" vertical="bottom"/>
    </x:xf>
    <x:xf numFmtId="0" fontId="24" fillId="11" borderId="0" xfId="0" applyNumberFormat="1" applyFont="1" applyFill="1" applyBorder="1" applyAlignment="1">
      <x:alignment horizontal="center" vertical="bottom"/>
    </x:xf>
    <x:xf numFmtId="0" fontId="0" fillId="0" borderId="0" xfId="0" applyNumberFormat="1" applyFont="1" applyFill="1" applyBorder="1" applyAlignment="1">
      <x:alignment horizontal="general" vertical="bottom" wrapText="1"/>
    </x:xf>
    <x:xf numFmtId="0" fontId="0" fillId="13" borderId="0" xfId="0" applyNumberFormat="1" applyFont="1" applyFill="1" applyBorder="1" applyAlignment="1">
      <x:alignment horizontal="general" vertical="bottom" wrapText="1"/>
    </x:xf>
    <x:xf numFmtId="0" fontId="25" fillId="13" borderId="0" xfId="0" applyNumberFormat="1" applyFont="1" applyFill="1" applyBorder="1" applyAlignment="1">
      <x:alignment horizontal="general" vertical="bottom" wrapText="1"/>
    </x:xf>
    <x:xf numFmtId="0" fontId="25" fillId="13" borderId="0" xfId="0" applyNumberFormat="1" applyFont="1" applyFill="1" applyBorder="1" applyAlignment="1">
      <x:alignment horizontal="center" vertical="bottom" wrapText="1"/>
    </x:xf>
    <x:xf numFmtId="0" fontId="9" fillId="14" borderId="0" xfId="0" applyNumberFormat="1" applyFont="1" applyFill="1" applyBorder="1" applyAlignment="1">
      <x:alignment horizontal="center" vertical="bottom" wrapText="1"/>
    </x:xf>
    <x:xf numFmtId="0" fontId="0" fillId="14" borderId="0" xfId="0" applyNumberFormat="1" applyFont="1" applyFill="1" applyBorder="1" applyAlignment="1">
      <x:alignment horizontal="general" vertical="bottom" wrapText="1"/>
    </x:xf>
    <x:xf numFmtId="0" fontId="25" fillId="14" borderId="0" xfId="0" applyNumberFormat="1" applyFont="1" applyFill="1" applyBorder="1" applyAlignment="1">
      <x:alignment horizontal="center" vertical="bottom" wrapText="1"/>
    </x:xf>
    <x:xf numFmtId="0" fontId="25" fillId="14" borderId="0" xfId="0" applyNumberFormat="1" applyFont="1" applyFill="1" applyBorder="1" applyAlignment="1">
      <x:alignment horizontal="general" vertical="bottom" wrapText="1"/>
    </x:xf>
    <x:xf numFmtId="0" fontId="9" fillId="15" borderId="0" xfId="0" applyNumberFormat="1" applyFont="1" applyFill="1" applyBorder="1" applyAlignment="1">
      <x:alignment horizontal="center" vertical="bottom" wrapText="1"/>
    </x:xf>
    <x:xf numFmtId="0" fontId="0" fillId="15" borderId="0" xfId="0" applyNumberFormat="1" applyFont="1" applyFill="1" applyBorder="1" applyAlignment="1">
      <x:alignment horizontal="general" vertical="bottom"/>
    </x:xf>
    <x:xf numFmtId="0" fontId="25" fillId="15" borderId="0" xfId="0" applyNumberFormat="1" applyFont="1" applyFill="1" applyBorder="1" applyAlignment="1">
      <x:alignment horizontal="center" vertical="bottom" wrapText="1"/>
    </x:xf>
    <x:xf numFmtId="0" fontId="25" fillId="15" borderId="0" xfId="0" applyNumberFormat="1" applyFont="1" applyFill="1" applyBorder="1" applyAlignment="1">
      <x:alignment horizontal="general" vertical="bottom"/>
    </x:xf>
    <x:xf numFmtId="0" fontId="25" fillId="15" borderId="0" xfId="0" applyNumberFormat="1" applyFont="1" applyFill="1" applyBorder="1" applyAlignment="1">
      <x:alignment horizontal="center" vertical="bottom"/>
    </x:xf>
    <x:xf numFmtId="0" fontId="25" fillId="15" borderId="0" xfId="0" applyNumberFormat="1" applyFont="1" applyFill="1" applyBorder="1" applyAlignment="1">
      <x:alignment horizontal="center" vertical="center" wrapText="1"/>
    </x:xf>
    <x:xf numFmtId="0" fontId="25" fillId="15" borderId="0" xfId="0" applyNumberFormat="1" applyFont="1" applyFill="1" applyBorder="1" applyAlignment="1">
      <x:alignment horizontal="center" vertical="center"/>
    </x:xf>
    <x:xf numFmtId="0" fontId="26" fillId="0" borderId="0" xfId="0" applyNumberFormat="1" applyFont="1" applyFill="1" applyBorder="1" applyAlignment="1">
      <x:alignment horizontal="general" vertical="bottom" wrapText="1"/>
    </x:xf>
    <x:xf numFmtId="0" fontId="26" fillId="16" borderId="0" xfId="0" applyNumberFormat="1" applyFont="1" applyFill="1" applyBorder="1" applyAlignment="1">
      <x:alignment horizontal="general" vertical="bottom" wrapText="1"/>
    </x:xf>
    <x:xf numFmtId="0" fontId="0" fillId="16" borderId="0" xfId="0" applyNumberFormat="1" applyFont="1" applyFill="1" applyBorder="1" applyAlignment="1">
      <x:alignment horizontal="general" vertical="bottom" wrapText="1"/>
    </x:xf>
    <x:xf numFmtId="0" fontId="25" fillId="16" borderId="0" xfId="0" applyNumberFormat="1" applyFont="1" applyFill="1" applyBorder="1" applyAlignment="1">
      <x:alignment horizontal="general" vertical="bottom" wrapText="1"/>
    </x:xf>
    <x:xf numFmtId="0" fontId="9" fillId="11" borderId="0" xfId="0" applyNumberFormat="1" applyFont="1" applyFill="1" applyBorder="1" applyAlignment="1">
      <x:alignment horizontal="general" vertical="bottom"/>
    </x:xf>
    <x:xf numFmtId="0" fontId="9" fillId="11" borderId="0" xfId="0" applyNumberFormat="1" applyFont="1" applyFill="1" applyBorder="1" applyAlignment="1">
      <x:alignment horizontal="general" vertical="bottom" wrapText="1"/>
    </x:xf>
    <x:xf numFmtId="0" fontId="10" fillId="11" borderId="0" xfId="0" applyNumberFormat="1" applyFont="1" applyFill="1" applyBorder="1" applyAlignment="1">
      <x:alignment horizontal="general" vertical="bottom" wrapText="1"/>
    </x:xf>
    <x:xf numFmtId="0" fontId="9" fillId="13" borderId="0" xfId="0" applyNumberFormat="1" applyFont="1" applyFill="1" applyBorder="1" applyAlignment="1">
      <x:alignment horizontal="general" vertical="bottom" wrapText="1"/>
    </x:xf>
    <x:xf numFmtId="0" fontId="10" fillId="13" borderId="0" xfId="0" applyNumberFormat="1" applyFont="1" applyFill="1" applyBorder="1" applyAlignment="1">
      <x:alignment horizontal="general" vertical="bottom" wrapText="1"/>
    </x:xf>
    <x:xf numFmtId="0" fontId="0" fillId="0" borderId="0" xfId="0" applyAlignment="1">
      <x:alignment horizontal="general" vertical="bottom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7" borderId="0" xfId="0" applyNumberFormat="1" applyFont="1" applyFill="1" applyBorder="1" applyAlignment="1">
      <x:alignment horizontal="general" vertical="bottom"/>
    </x:xf>
    <x:xf numFmtId="0" fontId="25" fillId="17" borderId="0" xfId="0" applyNumberFormat="1" applyFont="1" applyFill="1" applyBorder="1" applyAlignment="1">
      <x:alignment horizontal="general" vertical="bottom"/>
    </x:xf>
    <x:xf numFmtId="0" fontId="25" fillId="17" borderId="0" xfId="0" applyNumberFormat="1" applyFont="1" applyFill="1" applyBorder="1" applyAlignment="1">
      <x:alignment horizontal="general" vertical="bottom" wrapText="1"/>
    </x:xf>
    <x:xf numFmtId="0" fontId="25" fillId="17" borderId="0" xfId="0" applyNumberFormat="1" applyFont="1" applyFill="1" applyBorder="1" applyAlignment="1">
      <x:alignment horizontal="center" vertical="bottom" wrapText="1"/>
    </x:xf>
    <x:xf numFmtId="0" fontId="25" fillId="17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general" vertical="bottom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general" vertical="top" wrapText="1"/>
    </x:xf>
    <x:xf numFmtId="0" fontId="0" fillId="0" borderId="0" xfId="0" applyNumberFormat="1" applyFont="1" applyFill="1" applyBorder="1" applyAlignment="1">
      <x:alignment horizontal="general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5" fillId="17" xfId="0" applyNumberFormat="1" applyFont="1" applyFill="1" applyBorder="0" applyAlignment="1">
      <x:alignment horizontal="center" vertical="center" wrapText="1"/>
    </x:xf>
    <x:xf numFmtId="0" fontId="0" fillId="0" xfId="0" applyNumberFormat="1" applyFont="1" applyFill="1" applyBorder="0" applyAlignment="1">
      <x:alignment horizontal="general" vertical="top" wrapText="1"/>
    </x:xf>
    <x:xf numFmtId="0" fontId="0" fillId="0" xfId="0" applyNumberFormat="1" applyFont="1" applyFill="1" applyBorder="0" applyAlignment="1">
      <x:alignment horizontal="general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xfId="0" applyNumberFormat="1" applyFont="1" applyFill="1" applyBorder="0" applyAlignment="1">
      <x:alignment horizontal="general" vertical="top" wrapText="1"/>
    </x:xf>
    <x:xf numFmtId="200" fontId="0" fillId="0" borderId="0" xfId="0" applyNumberFormat="1" applyFont="1" applyFill="1" applyBorder="1" applyAlignment="1">
      <x:alignment horizontal="general" vertical="bottom"/>
    </x:xf>
    <x:xf numFmtId="0" fontId="0" fillId="18" borderId="0" xfId="0" applyNumberFormat="1" applyFont="1" applyFill="1" applyBorder="1" applyAlignment="1">
      <x:alignment horizontal="general" vertical="bottom"/>
    </x:xf>
    <x:xf numFmtId="0" fontId="25" fillId="18" borderId="0" xfId="0" applyNumberFormat="1" applyFont="1" applyFill="1" applyBorder="1" applyAlignment="1">
      <x:alignment horizontal="general" vertical="bottom"/>
    </x:xf>
    <x:xf numFmtId="0" fontId="25" fillId="18" borderId="0" xfId="0" applyNumberFormat="1" applyFont="1" applyFill="1" applyBorder="1" applyAlignment="1">
      <x:alignment horizontal="center" vertical="bottom"/>
    </x:xf>
    <x:xf numFmtId="0" fontId="25" fillId="18" xfId="0" applyNumberFormat="1" applyFont="1" applyFill="1" applyBorder="0" applyAlignment="1">
      <x:alignment horizontal="center" vertical="bottom"/>
    </x:xf>
    <x:xf numFmtId="0" fontId="0" fillId="0" xfId="0" applyNumberFormat="1" applyFont="1" applyFill="1" applyBorder="0" applyAlignment="1">
      <x:alignment horizontal="general" vertical="bottom" wrapText="1"/>
    </x:xf>
    <x:xf numFmtId="0" fontId="26" fillId="0" borderId="0" xfId="0" applyNumberFormat="1" applyFont="1" applyFill="1" applyBorder="1" applyAlignment="1">
      <x:alignment horizontal="general" vertical="bottom"/>
    </x:xf>
    <x:xf numFmtId="0" fontId="26" fillId="0" xfId="0" applyNumberFormat="1" applyFont="1" applyFill="1" applyBorder="0" applyAlignment="1">
      <x:alignment horizontal="general" vertical="bottom" wrapText="1"/>
    </x:xf>
    <x:xf numFmtId="0" fontId="26" fillId="17" xfId="0" applyNumberFormat="1" applyFont="1" applyFill="1" applyBorder="0" applyAlignment="1">
      <x:alignment horizontal="general" vertical="bottom" wrapText="1"/>
    </x:xf>
    <x:xf numFmtId="0" fontId="0" fillId="17" xfId="0" applyNumberFormat="1" applyFont="1" applyFill="1" applyBorder="0" applyAlignment="1">
      <x:alignment horizontal="general" vertical="bottom" wrapText="1"/>
    </x:xf>
    <x:xf numFmtId="0" fontId="25" fillId="17" xfId="0" applyNumberFormat="1" applyFont="1" applyFill="1" applyBorder="0" applyAlignment="1">
      <x:alignment horizontal="general" vertical="bottom" wrapText="1"/>
    </x:xf>
    <x:xf numFmtId="0" fontId="0" fillId="19" borderId="0" xfId="0" applyNumberFormat="1" applyFont="1" applyFill="1" applyBorder="1" applyAlignment="1">
      <x:alignment horizontal="general" vertical="bottom"/>
    </x:xf>
    <x:xf numFmtId="0" fontId="27" fillId="19" borderId="0" xfId="0" applyNumberFormat="1" applyFont="1" applyFill="1" applyBorder="1" applyAlignment="1">
      <x:alignment horizontal="general" vertical="bottom"/>
    </x:xf>
    <x:xf numFmtId="0" fontId="27" fillId="19" borderId="0" xfId="0" applyNumberFormat="1" applyFont="1" applyFill="1" applyBorder="1" applyAlignment="1">
      <x:alignment horizontal="left" vertical="bottom"/>
    </x:xf>
    <x:xf numFmtId="0" fontId="27" fillId="19" borderId="0" xfId="0" applyNumberFormat="1" applyFont="1" applyFill="1" applyBorder="1" applyAlignment="1">
      <x:alignment horizontal="left" vertical="center"/>
    </x:xf>
    <x:xf numFmtId="0" fontId="0" fillId="20" borderId="0" xfId="0" applyNumberFormat="1" applyFont="1" applyFill="1" applyBorder="1" applyAlignment="1">
      <x:alignment horizontal="general" vertical="bottom"/>
    </x:xf>
    <x:xf numFmtId="0" fontId="28" fillId="20" borderId="0" xfId="0" applyNumberFormat="1" applyFont="1" applyFill="1" applyBorder="1" applyAlignment="1">
      <x:alignment horizontal="general" vertical="bottom"/>
    </x:xf>
    <x:xf numFmtId="0" fontId="28" fillId="20" borderId="0" xfId="0" applyNumberFormat="1" applyFont="1" applyFill="1" applyBorder="1" applyAlignment="1">
      <x:alignment horizontal="general" vertical="bottom" wrapText="1"/>
    </x:xf>
    <x:xf numFmtId="0" fontId="28" fillId="20" borderId="0" xfId="0" applyNumberFormat="1" applyFont="1" applyFill="1" applyBorder="1" applyAlignment="1">
      <x:alignment horizontal="general" vertical="center" wrapText="1"/>
    </x:xf>
    <x:xf numFmtId="0" fontId="0" fillId="21" borderId="0" xfId="0" applyNumberFormat="1" applyFont="1" applyFill="1" applyBorder="1" applyAlignment="1">
      <x:alignment horizontal="general" vertical="bottom"/>
    </x:xf>
    <x:xf numFmtId="0" fontId="25" fillId="21" borderId="0" xfId="0" applyNumberFormat="1" applyFont="1" applyFill="1" applyBorder="1" applyAlignment="1">
      <x:alignment horizontal="general" vertical="bottom"/>
    </x:xf>
    <x:xf numFmtId="0" fontId="25" fillId="21" borderId="2" xfId="0" applyNumberFormat="1" applyFont="1" applyFill="1" applyBorder="1" applyAlignment="1">
      <x:alignment horizontal="general" vertical="bottom"/>
    </x:xf>
    <x:xf numFmtId="0" fontId="25" fillId="21" borderId="3" xfId="0" applyNumberFormat="1" applyFont="1" applyFill="1" applyBorder="1" applyAlignment="1">
      <x:alignment horizontal="general" vertical="bottom"/>
    </x:xf>
    <x:xf numFmtId="0" fontId="25" fillId="21" borderId="2" xfId="0" applyNumberFormat="1" applyFont="1" applyFill="1" applyBorder="1" applyAlignment="1">
      <x:alignment horizontal="general" vertical="bottom" wrapText="1"/>
    </x:xf>
    <x:xf numFmtId="0" fontId="25" fillId="21" borderId="3" xfId="0" applyNumberFormat="1" applyFont="1" applyFill="1" applyBorder="1" applyAlignment="1">
      <x:alignment horizontal="general" vertical="bottom" wrapText="1"/>
    </x:xf>
    <x:xf numFmtId="0" fontId="25" fillId="21" borderId="2" xfId="0" applyNumberFormat="1" applyFont="1" applyFill="1" applyBorder="1" applyAlignment="1">
      <x:alignment horizontal="center" vertical="bottom" wrapText="1"/>
    </x:xf>
    <x:xf numFmtId="0" fontId="25" fillId="21" borderId="3" xfId="0" applyNumberFormat="1" applyFont="1" applyFill="1" applyBorder="1" applyAlignment="1">
      <x:alignment horizontal="center" vertical="bottom" wrapText="1"/>
    </x:xf>
    <x:xf numFmtId="0" fontId="25" fillId="21" borderId="2" xfId="0" applyNumberFormat="1" applyFont="1" applyFill="1" applyBorder="1" applyAlignment="1">
      <x:alignment horizontal="center" vertical="center" wrapText="1"/>
    </x:xf>
    <x:xf numFmtId="0" fontId="25" fillId="21" borderId="3" xfId="0" applyNumberFormat="1" applyFont="1" applyFill="1" applyBorder="1" applyAlignment="1">
      <x:alignment horizontal="center" vertical="center" wrapText="1"/>
    </x:xf>
    <x:xf numFmtId="0" fontId="0" fillId="22" borderId="0" xfId="0" applyNumberFormat="1" applyFont="1" applyFill="1" applyBorder="1" applyAlignment="1">
      <x:alignment horizontal="general" vertical="bottom"/>
    </x:xf>
    <x:xf numFmtId="0" fontId="29" fillId="22" borderId="0" xfId="0" applyNumberFormat="1" applyFont="1" applyFill="1" applyBorder="1" applyAlignment="1">
      <x:alignment horizontal="general" vertical="bottom"/>
    </x:xf>
    <x:xf numFmtId="0" fontId="29" fillId="22" borderId="4" xfId="0" applyNumberFormat="1" applyFont="1" applyFill="1" applyBorder="1" applyAlignment="1">
      <x:alignment horizontal="general" vertical="bottom"/>
    </x:xf>
    <x:xf numFmtId="0" fontId="29" fillId="22" borderId="5" xfId="0" applyNumberFormat="1" applyFont="1" applyFill="1" applyBorder="1" applyAlignment="1">
      <x:alignment horizontal="general" vertical="bottom"/>
    </x:xf>
    <x:xf numFmtId="0" fontId="29" fillId="22" borderId="6" xfId="0" applyNumberFormat="1" applyFont="1" applyFill="1" applyBorder="1" applyAlignment="1">
      <x:alignment horizontal="general" vertical="bottom"/>
    </x:xf>
    <x:xf numFmtId="0" fontId="29" fillId="22" borderId="7" xfId="0" applyNumberFormat="1" applyFont="1" applyFill="1" applyBorder="1" applyAlignment="1">
      <x:alignment horizontal="general" vertical="bottom"/>
    </x:xf>
    <x:xf numFmtId="0" fontId="29" fillId="22" borderId="8" xfId="0" applyNumberFormat="1" applyFont="1" applyFill="1" applyBorder="1" applyAlignment="1">
      <x:alignment horizontal="general" vertical="bottom"/>
    </x:xf>
    <x:xf numFmtId="0" fontId="29" fillId="22" borderId="9" xfId="0" applyNumberFormat="1" applyFont="1" applyFill="1" applyBorder="1" applyAlignment="1">
      <x:alignment horizontal="general" vertical="bottom"/>
    </x:xf>
    <x:xf numFmtId="0" fontId="29" fillId="22" borderId="4" xfId="0" applyNumberFormat="1" applyFont="1" applyFill="1" applyBorder="1" applyAlignment="1">
      <x:alignment horizontal="general" vertical="bottom" wrapText="1"/>
    </x:xf>
    <x:xf numFmtId="0" fontId="29" fillId="22" borderId="5" xfId="0" applyNumberFormat="1" applyFont="1" applyFill="1" applyBorder="1" applyAlignment="1">
      <x:alignment horizontal="general" vertical="bottom" wrapText="1"/>
    </x:xf>
    <x:xf numFmtId="0" fontId="29" fillId="22" borderId="6" xfId="0" applyNumberFormat="1" applyFont="1" applyFill="1" applyBorder="1" applyAlignment="1">
      <x:alignment horizontal="general" vertical="bottom" wrapText="1"/>
    </x:xf>
    <x:xf numFmtId="0" fontId="29" fillId="22" borderId="7" xfId="0" applyNumberFormat="1" applyFont="1" applyFill="1" applyBorder="1" applyAlignment="1">
      <x:alignment horizontal="general" vertical="bottom" wrapText="1"/>
    </x:xf>
    <x:xf numFmtId="0" fontId="29" fillId="22" borderId="8" xfId="0" applyNumberFormat="1" applyFont="1" applyFill="1" applyBorder="1" applyAlignment="1">
      <x:alignment horizontal="general" vertical="bottom" wrapText="1"/>
    </x:xf>
    <x:xf numFmtId="0" fontId="29" fillId="22" borderId="9" xfId="0" applyNumberFormat="1" applyFont="1" applyFill="1" applyBorder="1" applyAlignment="1">
      <x:alignment horizontal="general" vertical="bottom" wrapText="1"/>
    </x:xf>
    <x:xf numFmtId="0" fontId="29" fillId="22" borderId="4" xfId="0" applyNumberFormat="1" applyFont="1" applyFill="1" applyBorder="1" applyAlignment="1">
      <x:alignment horizontal="general" vertical="top" wrapText="1"/>
    </x:xf>
    <x:xf numFmtId="0" fontId="29" fillId="22" borderId="5" xfId="0" applyNumberFormat="1" applyFont="1" applyFill="1" applyBorder="1" applyAlignment="1">
      <x:alignment horizontal="general" vertical="top" wrapText="1"/>
    </x:xf>
    <x:xf numFmtId="0" fontId="29" fillId="22" borderId="6" xfId="0" applyNumberFormat="1" applyFont="1" applyFill="1" applyBorder="1" applyAlignment="1">
      <x:alignment horizontal="general" vertical="top" wrapText="1"/>
    </x:xf>
    <x:xf numFmtId="0" fontId="29" fillId="22" borderId="7" xfId="0" applyNumberFormat="1" applyFont="1" applyFill="1" applyBorder="1" applyAlignment="1">
      <x:alignment horizontal="general" vertical="top" wrapText="1"/>
    </x:xf>
    <x:xf numFmtId="0" fontId="29" fillId="22" borderId="8" xfId="0" applyNumberFormat="1" applyFont="1" applyFill="1" applyBorder="1" applyAlignment="1">
      <x:alignment horizontal="general" vertical="top" wrapText="1"/>
    </x:xf>
    <x:xf numFmtId="0" fontId="29" fillId="22" borderId="9" xfId="0" applyNumberFormat="1" applyFont="1" applyFill="1" applyBorder="1" applyAlignment="1">
      <x:alignment horizontal="general" vertical="top" wrapText="1"/>
    </x:xf>
    <x:xf numFmtId="0" fontId="4" fillId="19" borderId="1" xfId="0" applyNumberFormat="1" applyFont="1" applyFill="1" applyBorder="1" applyAlignment="1">
      <x:alignment horizontal="general" vertical="top" wrapText="1"/>
    </x:xf>
    <x:xf numFmtId="0" fontId="30" fillId="19" borderId="1" xfId="0" applyNumberFormat="1" applyFont="1" applyFill="1" applyBorder="1" applyAlignment="1">
      <x:alignment horizontal="general" vertical="top" wrapText="1"/>
    </x:xf>
    <x:xf numFmtId="0" fontId="30" fillId="19" borderId="1" xfId="0" applyNumberFormat="1" applyFont="1" applyFill="1" applyBorder="1" applyAlignment="1">
      <x:alignment horizontal="left" vertical="top" wrapText="1"/>
    </x:xf>
    <x:xf numFmtId="0" fontId="30" fillId="19" borderId="1" xfId="0" applyNumberFormat="1" applyFont="1" applyFill="1" applyBorder="1" applyAlignment="1">
      <x:alignment horizontal="left" vertical="center" wrapText="1"/>
    </x:xf>
    <x:xf numFmtId="0" fontId="0" fillId="20" borderId="1" xfId="0" applyNumberFormat="1" applyFont="1" applyFill="1" applyBorder="1" applyAlignment="1">
      <x:alignment horizontal="general" vertical="top" wrapText="1"/>
    </x:xf>
    <x:xf numFmtId="0" fontId="28" fillId="20" borderId="1" xfId="0" applyNumberFormat="1" applyFont="1" applyFill="1" applyBorder="1" applyAlignment="1">
      <x:alignment horizontal="general" vertical="top" wrapText="1"/>
    </x:xf>
    <x:xf numFmtId="0" fontId="28" fillId="20" borderId="1" xfId="0" applyNumberFormat="1" applyFont="1" applyFill="1" applyBorder="1" applyAlignment="1">
      <x:alignment horizontal="general" vertical="center" wrapText="1"/>
    </x:xf>
    <x:xf numFmtId="0" fontId="25" fillId="21" borderId="10" xfId="0" applyNumberFormat="1" applyFont="1" applyFill="1" applyBorder="1" applyAlignment="1">
      <x:alignment horizontal="general" vertical="bottom"/>
    </x:xf>
    <x:xf numFmtId="0" fontId="25" fillId="21" borderId="10" xfId="0" applyNumberFormat="1" applyFont="1" applyFill="1" applyBorder="1" applyAlignment="1">
      <x:alignment horizontal="general" vertical="bottom" wrapText="1"/>
    </x:xf>
    <x:xf numFmtId="0" fontId="25" fillId="21" borderId="10" xfId="0" applyNumberFormat="1" applyFont="1" applyFill="1" applyBorder="1" applyAlignment="1">
      <x:alignment horizontal="center" vertical="bottom" wrapText="1"/>
    </x:xf>
    <x:xf numFmtId="0" fontId="25" fillId="21" borderId="10" xfId="0" applyNumberFormat="1" applyFont="1" applyFill="1" applyBorder="1" applyAlignment="1">
      <x:alignment horizontal="center" vertical="center" wrapText="1"/>
    </x:xf>
    <x:xf numFmtId="0" fontId="29" fillId="22" borderId="11" xfId="0" applyNumberFormat="1" applyFont="1" applyFill="1" applyBorder="1" applyAlignment="1">
      <x:alignment horizontal="general" vertical="bottom"/>
    </x:xf>
    <x:xf numFmtId="0" fontId="29" fillId="22" borderId="12" xfId="0" applyNumberFormat="1" applyFont="1" applyFill="1" applyBorder="1" applyAlignment="1">
      <x:alignment horizontal="general" vertical="bottom"/>
    </x:xf>
    <x:xf numFmtId="0" fontId="29" fillId="22" borderId="11" xfId="0" applyNumberFormat="1" applyFont="1" applyFill="1" applyBorder="1" applyAlignment="1">
      <x:alignment horizontal="general" vertical="bottom" wrapText="1"/>
    </x:xf>
    <x:xf numFmtId="0" fontId="29" fillId="22" borderId="12" xfId="0" applyNumberFormat="1" applyFont="1" applyFill="1" applyBorder="1" applyAlignment="1">
      <x:alignment horizontal="general" vertical="bottom" wrapText="1"/>
    </x:xf>
    <x:xf numFmtId="0" fontId="29" fillId="22" borderId="11" xfId="0" applyNumberFormat="1" applyFont="1" applyFill="1" applyBorder="1" applyAlignment="1">
      <x:alignment horizontal="general" vertical="top" wrapText="1"/>
    </x:xf>
    <x:xf numFmtId="0" fontId="29" fillId="22" borderId="12" xfId="0" applyNumberFormat="1" applyFont="1" applyFill="1" applyBorder="1" applyAlignment="1">
      <x:alignment horizontal="general" vertical="top" wrapText="1"/>
    </x:xf>
    <x:xf numFmtId="201" fontId="29" fillId="22" borderId="11" xfId="0" applyNumberFormat="1" applyFont="1" applyFill="1" applyBorder="1" applyAlignment="1">
      <x:alignment horizontal="general" vertical="top" wrapText="1"/>
    </x:xf>
    <x:xf numFmtId="201" fontId="29" fillId="22" borderId="12" xfId="0" applyNumberFormat="1" applyFont="1" applyFill="1" applyBorder="1" applyAlignment="1">
      <x:alignment horizontal="general" vertical="top" wrapText="1"/>
    </x:xf>
    <x:xf numFmtId="201" fontId="0" fillId="0" borderId="0" xfId="0" applyNumberFormat="1" applyFont="1" applyFill="1" applyBorder="1" applyAlignment="1">
      <x:alignment horizontal="general" vertical="bottom"/>
    </x:xf>
    <x:xf numFmtId="200" fontId="29" fillId="22" borderId="11" xfId="0" applyNumberFormat="1" applyFont="1" applyFill="1" applyBorder="1" applyAlignment="1">
      <x:alignment horizontal="general" vertical="top" wrapText="1"/>
    </x:xf>
    <x:xf numFmtId="200" fontId="29" fillId="22" borderId="12" xfId="0" applyNumberFormat="1" applyFont="1" applyFill="1" applyBorder="1" applyAlignment="1">
      <x:alignment horizontal="general" vertical="top" wrapText="1"/>
    </x:xf>
    <x:xf numFmtId="0" fontId="29" fillId="22" xfId="0" applyNumberFormat="1" applyFont="1" applyFill="1" applyBorder="0" applyAlignment="1">
      <x:alignment horizontal="general" vertical="bottom"/>
    </x:xf>
    <x:xf numFmtId="0" fontId="29" fillId="22" xfId="0" applyNumberFormat="1" applyFont="1" applyFill="1" applyBorder="0" applyAlignment="1">
      <x:alignment horizontal="general" vertical="bottom" wrapText="1"/>
    </x:xf>
    <x:xf numFmtId="0" fontId="29" fillId="22" xfId="0" applyNumberFormat="1" applyFont="1" applyFill="1" applyBorder="0" applyAlignment="1">
      <x:alignment horizontal="general" vertical="top" wrapText="1"/>
    </x:xf>
    <x:xf numFmtId="201" fontId="29" fillId="22" xfId="0" applyNumberFormat="1" applyFont="1" applyFill="1" applyBorder="0" applyAlignment="1">
      <x:alignment horizontal="general" vertical="top" wrapText="1"/>
    </x:xf>
    <x:xf numFmtId="0" fontId="7" fillId="19" borderId="1" xfId="0" applyNumberFormat="1" applyFont="1" applyFill="1" applyBorder="1" applyAlignment="1">
      <x:alignment horizontal="center" vertical="center" wrapText="1"/>
    </x:xf>
    <x:xf numFmtId="0" fontId="31" fillId="19" borderId="1" xfId="0" applyNumberFormat="1" applyFont="1" applyFill="1" applyBorder="1" applyAlignment="1">
      <x:alignment horizontal="center" vertical="center" wrapText="1"/>
    </x:xf>
    <x:xf numFmtId="0" fontId="31" fillId="19" borderId="1" xfId="0" applyNumberFormat="1" applyFont="1" applyFill="1" applyBorder="1" applyAlignment="1">
      <x:alignment horizontal="left" vertical="center" wrapText="1"/>
    </x:xf>
    <x:xf numFmtId="0" fontId="0" fillId="21" borderId="1" xfId="0" applyNumberFormat="1" applyFont="1" applyFill="1" applyBorder="1" applyAlignment="1">
      <x:alignment horizontal="general" vertical="top" wrapText="1"/>
    </x:xf>
    <x:xf numFmtId="0" fontId="25" fillId="21" borderId="1" xfId="0" applyNumberFormat="1" applyFont="1" applyFill="1" applyBorder="1" applyAlignment="1">
      <x:alignment horizontal="general" vertical="top" wrapText="1"/>
    </x:xf>
    <x:xf numFmtId="0" fontId="25" fillId="21" borderId="13" xfId="0" applyNumberFormat="1" applyFont="1" applyFill="1" applyBorder="1" applyAlignment="1">
      <x:alignment horizontal="general" vertical="top" wrapText="1"/>
    </x:xf>
    <x:xf numFmtId="0" fontId="25" fillId="21" borderId="14" xfId="0" applyNumberFormat="1" applyFont="1" applyFill="1" applyBorder="1" applyAlignment="1">
      <x:alignment horizontal="general" vertical="top" wrapText="1"/>
    </x:xf>
    <x:xf numFmtId="0" fontId="25" fillId="21" borderId="13" xfId="0" applyNumberFormat="1" applyFont="1" applyFill="1" applyBorder="1" applyAlignment="1">
      <x:alignment horizontal="center" vertical="top" wrapText="1"/>
    </x:xf>
    <x:xf numFmtId="0" fontId="25" fillId="21" borderId="14" xfId="0" applyNumberFormat="1" applyFont="1" applyFill="1" applyBorder="1" applyAlignment="1">
      <x:alignment horizontal="center" vertical="top" wrapText="1"/>
    </x:xf>
    <x:xf numFmtId="0" fontId="25" fillId="21" borderId="13" xfId="0" applyNumberFormat="1" applyFont="1" applyFill="1" applyBorder="1" applyAlignment="1">
      <x:alignment horizontal="center" vertical="center" wrapText="1"/>
    </x:xf>
    <x:xf numFmtId="0" fontId="25" fillId="21" borderId="14" xfId="0" applyNumberFormat="1" applyFont="1" applyFill="1" applyBorder="1" applyAlignment="1">
      <x:alignment horizontal="center" vertical="center" wrapText="1"/>
    </x:xf>
    <x:xf numFmtId="200" fontId="29" fillId="22" xfId="0" applyNumberFormat="1" applyFont="1" applyFill="1" applyBorder="0" applyAlignment="1">
      <x:alignment horizontal="general" vertical="top" wrapText="1"/>
    </x:xf>
    <x:xf numFmtId="201" fontId="29" fillId="22" borderId="5" xfId="0" applyNumberFormat="1" applyFont="1" applyFill="1" applyBorder="1" applyAlignment="1">
      <x:alignment horizontal="general" vertical="top" wrapText="1"/>
    </x:xf>
    <x:xf numFmtId="201" fontId="29" fillId="22" borderId="7" xfId="0" applyNumberFormat="1" applyFont="1" applyFill="1" applyBorder="1" applyAlignment="1">
      <x:alignment horizontal="general" vertical="top" wrapText="1"/>
    </x:xf>
    <x:xf numFmtId="201" fontId="29" fillId="22" borderId="9" xfId="0" applyNumberFormat="1" applyFont="1" applyFill="1" applyBorder="1" applyAlignment="1">
      <x:alignment horizontal="general" vertical="top" wrapText="1"/>
    </x:xf>
  </x:cellXfs>
  <x:cellStyles count="6">
    <x:cellStyle name="Normal" xfId="0"/>
    <x:cellStyle name="Comma" xfId="1"/>
    <x:cellStyle name="Comma [0]" xfId="2"/>
    <x:cellStyle name="Currency" xfId="3"/>
    <x:cellStyle name="Currency [0]" xfId="4"/>
    <x:cellStyle name="Percent" xfId="5"/>
  </x:cellStyles>
  <x:dxfs count="22">
    <x:dxf>
      <x:font>
        <x:b/>
        <x:color rgb="D1FAE5"/>
      </x:font>
      <x:fill>
        <x:patternFill>
          <x:bgColor rgb="123F30"/>
        </x:patternFill>
      </x:fill>
    </x:dxf>
    <x:dxf>
      <x:font>
        <x:b/>
        <x:color rgb="FECACA"/>
      </x:font>
      <x:fill>
        <x:patternFill>
          <x:bgColor rgb="4B1D1D"/>
        </x:patternFill>
      </x:fill>
    </x:dxf>
    <x:dxf>
      <x:font>
        <x:b/>
        <x:color rgb="FDE68A"/>
      </x:font>
      <x:fill>
        <x:patternFill>
          <x:bgColor rgb="3D2C0F"/>
        </x:patternFill>
      </x:fill>
    </x:dxf>
    <x:dxf>
      <x:fill>
        <x:patternFill>
          <x:bgColor rgb="D7F3F1"/>
        </x:patternFill>
      </x:fill>
    </x:dxf>
    <x:dxf>
      <x:fill>
        <x:patternFill>
          <x:bgColor rgb="DDF4E8"/>
        </x:patternFill>
      </x:fill>
    </x:dxf>
    <x:dxf>
      <x:fill>
        <x:patternFill>
          <x:bgColor rgb="FDE2E2"/>
        </x:patternFill>
      </x:fill>
    </x:dxf>
    <x:dxf>
      <x:fill>
        <x:patternFill>
          <x:bgColor rgb="F1E1FF"/>
        </x:patternFill>
      </x:fill>
    </x:dxf>
    <x:dxf>
      <x:fill>
        <x:patternFill>
          <x:bgColor rgb="FFF1C7"/>
        </x:patternFill>
      </x:fill>
    </x:dxf>
    <x:dxf>
      <x:fill>
        <x:patternFill>
          <x:bgColor rgb="FFE4DD"/>
        </x:patternFill>
      </x:fill>
    </x:dxf>
    <x:dxf>
      <x:font>
        <x:b/>
      </x:font>
      <x:fill>
        <x:patternFill>
          <x:bgColor rgb="FDE68A"/>
        </x:patternFill>
      </x:fill>
    </x:dxf>
    <x:dxf>
      <x:fill>
        <x:patternFill>
          <x:bgColor rgb="DBEAFE"/>
        </x:patternFill>
      </x:fill>
    </x:dxf>
    <x:dxf>
      <x:fill>
        <x:patternFill>
          <x:bgColor rgb="E5E7EB"/>
        </x:patternFill>
      </x:fill>
    </x:dxf>
    <x:dxf>
      <x:fill>
        <x:patternFill>
          <x:bgColor rgb="FECACA"/>
        </x:patternFill>
      </x:fill>
    </x:dxf>
    <x:dxf>
      <x:fill>
        <x:patternFill>
          <x:bgColor rgb="FEF3C7"/>
        </x:patternFill>
      </x:fill>
    </x:dxf>
    <x:dxf>
      <x:fill>
        <x:patternFill>
          <x:bgColor rgb="DCFCE7"/>
        </x:patternFill>
      </x:fill>
    </x:dxf>
    <x:dxf>
      <x:fill>
        <x:patternFill>
          <x:bgColor rgb="E5E7EB"/>
        </x:patternFill>
      </x:fill>
    </x:dxf>
    <x:dxf>
      <x:fill>
        <x:patternFill>
          <x:bgColor rgb="DCFCE7"/>
        </x:patternFill>
      </x:fill>
    </x:dxf>
    <x:dxf>
      <x:fill>
        <x:patternFill>
          <x:bgColor rgb="F3F4F6"/>
        </x:patternFill>
      </x:fill>
    </x:dxf>
    <x:dxf>
      <x:font>
        <x:color rgb="B91C1C"/>
      </x:font>
      <x:fill>
        <x:patternFill patternType="solid">
          <x:bgColor rgb="FEE2E2"/>
        </x:patternFill>
      </x:fill>
    </x:dxf>
    <x:dxf>
      <x:font>
        <x:color rgb="166534"/>
      </x:font>
      <x:fill>
        <x:patternFill patternType="solid">
          <x:bgColor rgb="DCFCE7"/>
        </x:patternFill>
      </x:fill>
    </x:dxf>
    <x:dxf>
      <x:font>
        <x:color rgb="166534"/>
      </x:font>
      <x:fill>
        <x:patternFill patternType="solid">
          <x:bgColor rgb="DCFCE7"/>
        </x:patternFill>
      </x:fill>
    </x:dxf>
    <x:dxf>
      <x:font>
        <x:color rgb="B91C1C"/>
      </x:font>
      <x:fill>
        <x:patternFill patternType="solid">
          <x:bgColor rgb="FEE2E2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2CC"/>
      <x:rgbColor rgb="FFD9EAF7"/>
      <x:rgbColor rgb="FF660066"/>
      <x:rgbColor rgb="FFFF8080"/>
      <x:rgbColor rgb="FF0066CC"/>
      <x:rgbColor rgb="FFD9D9D9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EDE7F6"/>
      <x:rgbColor rgb="FFE2F0D9"/>
      <x:rgbColor rgb="FFFFFF99"/>
      <x:rgbColor rgb="FF99CCFF"/>
      <x:rgbColor rgb="FFFF99CC"/>
      <x:rgbColor rgb="FFCC99FF"/>
      <x:rgbColor rgb="FFFCE4D6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1F4E78"/>
      <x:rgbColor rgb="FF1F1F1F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fe0aa39cc64008" /><Relationship Type="http://schemas.openxmlformats.org/officeDocument/2006/relationships/theme" Target="/xl/theme/theme1.xml" Id="R663dae27a2524b67" /><Relationship Type="http://schemas.microsoft.com/office/2022/11/relationships/FeaturePropertyBag" Target="/xl/featurePropertyBag/featurePropertyBag.xml" Id="R9a657750c9b341fe" /><Relationship Type="http://schemas.openxmlformats.org/officeDocument/2006/relationships/sharedStrings" Target="/xl/sharedStrings.xml" Id="Re60f621856c44796" /><Relationship Type="http://schemas.openxmlformats.org/officeDocument/2006/relationships/worksheet" Target="/xl/worksheets/sheet1.xml" Id="Re5204a36d9e34319" /><Relationship Type="http://schemas.openxmlformats.org/officeDocument/2006/relationships/worksheet" Target="/xl/worksheets/sheet2.xml" Id="R0a68c57125ea4096" /><Relationship Type="http://schemas.openxmlformats.org/officeDocument/2006/relationships/worksheet" Target="/xl/worksheets/sheet3.xml" Id="R920f2604c5a9451c" /><Relationship Type="http://schemas.openxmlformats.org/officeDocument/2006/relationships/worksheet" Target="/xl/worksheets/sheet4.xml" Id="R06f84b49ead84c8c" /><Relationship Type="http://schemas.openxmlformats.org/officeDocument/2006/relationships/worksheet" Target="/xl/worksheets/sheet5.xml" Id="R5ab85ea6463a46f2" /><Relationship Type="http://schemas.openxmlformats.org/officeDocument/2006/relationships/worksheet" Target="/xl/worksheets/sheet6.xml" Id="R9caed0647b284cd8" /><Relationship Type="http://schemas.openxmlformats.org/officeDocument/2006/relationships/worksheet" Target="/xl/worksheets/sheet7.xml" Id="R1aee19c6d4834be2" /><Relationship Type="http://schemas.openxmlformats.org/officeDocument/2006/relationships/worksheet" Target="/xl/worksheets/sheet8.xml" Id="R57bd16771df74f0f" /><Relationship Type="http://schemas.openxmlformats.org/officeDocument/2006/relationships/worksheet" Target="/xl/worksheets/sheet9.xml" Id="Rd3b08b7829e14ae6" /><Relationship Type="http://schemas.openxmlformats.org/officeDocument/2006/relationships/worksheet" Target="/xl/worksheets/sheet10.xml" Id="Rfdc3415382af4379" /><Relationship Type="http://schemas.openxmlformats.org/officeDocument/2006/relationships/worksheet" Target="/xl/worksheets/sheet11.xml" Id="R6f25bd50258d450c" /><Relationship Type="http://schemas.openxmlformats.org/officeDocument/2006/relationships/worksheet" Target="/xl/worksheets/sheet12.xml" Id="R400e038621d34385" /><Relationship Type="http://schemas.openxmlformats.org/officeDocument/2006/relationships/worksheet" Target="/xl/worksheets/sheet13.xml" Id="R8eff42d2c8254096" /><Relationship Type="http://schemas.openxmlformats.org/officeDocument/2006/relationships/worksheet" Target="/xl/worksheets/sheet14.xml" Id="R96382c28907c4e22" /><Relationship Type="http://schemas.openxmlformats.org/officeDocument/2006/relationships/worksheet" Target="/xl/worksheets/sheet15.xml" Id="R9ecc05d7c34340ef" /><Relationship Type="http://schemas.openxmlformats.org/officeDocument/2006/relationships/worksheet" Target="/xl/worksheets/sheet16.xml" Id="R6ef05e9c37ed4385" /><Relationship Type="http://schemas.openxmlformats.org/officeDocument/2006/relationships/worksheet" Target="/xl/worksheets/sheet17.xml" Id="R9c62a7d769c84779" /><Relationship Type="http://schemas.openxmlformats.org/officeDocument/2006/relationships/worksheet" Target="/xl/worksheets/sheet18.xml" Id="R121ec51935684f26" /><Relationship Type="http://schemas.openxmlformats.org/officeDocument/2006/relationships/worksheet" Target="/xl/worksheets/sheet19.xml" Id="R910afa00cd3d4e77" /><Relationship Type="http://schemas.openxmlformats.org/officeDocument/2006/relationships/worksheet" Target="/xl/worksheets/sheet20.xml" Id="R7097c066bd2f4e86" /><Relationship Type="http://schemas.openxmlformats.org/officeDocument/2006/relationships/worksheet" Target="/xl/worksheets/sheet21.xml" Id="R244975d74c8e41bb" /><Relationship Type="http://schemas.openxmlformats.org/officeDocument/2006/relationships/worksheet" Target="/xl/worksheets/sheet22.xml" Id="Rc82c8d7f05af49c3" /><Relationship Type="http://schemas.openxmlformats.org/officeDocument/2006/relationships/worksheet" Target="/xl/worksheets/sheet23.xml" Id="R04c4f68865b249c5" /><Relationship Type="http://schemas.openxmlformats.org/officeDocument/2006/relationships/worksheet" Target="/xl/worksheets/sheet24.xml" Id="R87e9541fb20b4dcc" /><Relationship Type="http://schemas.openxmlformats.org/officeDocument/2006/relationships/worksheet" Target="/xl/worksheets/sheet25.xml" Id="R3fb3dff550a44472" /><Relationship Type="http://schemas.openxmlformats.org/officeDocument/2006/relationships/worksheet" Target="/xl/worksheets/sheet26.xml" Id="R126f2d0df8c34679" /><Relationship Type="http://schemas.openxmlformats.org/officeDocument/2006/relationships/worksheet" Target="/xl/worksheets/sheet27.xml" Id="Rdd201162687347f1" /><Relationship Type="http://schemas.openxmlformats.org/officeDocument/2006/relationships/worksheet" Target="/xl/worksheets/sheet28.xml" Id="R9de63dcab1bb4e90" /><Relationship Type="http://schemas.openxmlformats.org/officeDocument/2006/relationships/worksheet" Target="/xl/worksheets/sheet29.xml" Id="R890fd8323f694ecd" /><Relationship Type="http://schemas.openxmlformats.org/officeDocument/2006/relationships/worksheet" Target="/xl/worksheets/sheet30.xml" Id="Rdd05244976984906" /><Relationship Type="http://schemas.openxmlformats.org/officeDocument/2006/relationships/worksheet" Target="/xl/worksheets/sheet31.xml" Id="Rb8572fef24344130" /><Relationship Type="http://schemas.openxmlformats.org/officeDocument/2006/relationships/worksheet" Target="/xl/worksheets/sheet32.xml" Id="Re97c759194174ed6" /><Relationship Type="http://schemas.openxmlformats.org/officeDocument/2006/relationships/worksheet" Target="/xl/worksheets/sheet33.xml" Id="Rcb0f2677480d4569" /><Relationship Type="http://schemas.openxmlformats.org/officeDocument/2006/relationships/worksheet" Target="/xl/worksheets/sheet34.xml" Id="R3feac88a7fde4b17" /><Relationship Type="http://schemas.openxmlformats.org/officeDocument/2006/relationships/worksheet" Target="/xl/worksheets/sheet35.xml" Id="Rb3ad8f842f394c70" /><Relationship Type="http://schemas.openxmlformats.org/officeDocument/2006/relationships/worksheet" Target="/xl/worksheets/sheet36.xml" Id="Rf324e1bd48a54626" /><Relationship Type="http://schemas.openxmlformats.org/officeDocument/2006/relationships/worksheet" Target="/xl/worksheets/sheet37.xml" Id="R8ff708a424ce4110" /><Relationship Type="http://schemas.openxmlformats.org/officeDocument/2006/relationships/worksheet" Target="/xl/worksheets/sheet38.xml" Id="Rc00c2582c60f48e7" /><Relationship Type="http://schemas.openxmlformats.org/officeDocument/2006/relationships/worksheet" Target="/xl/worksheets/sheet39.xml" Id="Reb1735e1f7fd458f" /><Relationship Type="http://schemas.openxmlformats.org/officeDocument/2006/relationships/worksheet" Target="/xl/worksheets/sheet40.xml" Id="Rde1242c6e3ce4641" /><Relationship Type="http://schemas.microsoft.com/office/2017/10/relationships/person" Target="/xl/persons/person.xml" Id="Rd659d2f2100a422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OpenAI" id="{B7355E5F-F2BF-A59E-394A-86BA2FDCF9C2}"/>
  <xltc:person displayName="OpenAI" id="{0C55D6FB-3FC5-C081-7566-21053AA2B53C}"/>
</xltc:personList>
</file>

<file path=xl/tables/table1.xml><?xml version="1.0" encoding="utf-8"?>
<x:table xmlns:x="http://schemas.openxmlformats.org/spreadsheetml/2006/main" id="1" name="ProgramHeaderTable" displayName="ProgramHeaderTable" ref="A4:N200" headerRowCount="1">
  <x:tableColumns count="14">
    <x:tableColumn id="1" name="ProgramID"/>
    <x:tableColumn id="2" name="Brand"/>
    <x:tableColumn id="3" name="Company"/>
    <x:tableColumn id="4" name="Molecule"/>
    <x:tableColumn id="5" name="Indication"/>
    <x:tableColumn id="6" name="Audience"/>
    <x:tableColumn id="7" name="CurrentBelief"/>
    <x:tableColumn id="8" name="DesiredBelief"/>
    <x:tableColumn id="9" name="StrategicQuestion"/>
    <x:tableColumn id="10" name="ForecastHorizonMonths"/>
    <x:tableColumn id="11" name="ProgramType"/>
    <x:tableColumn id="12" name="Owner"/>
    <x:tableColumn id="13" name="AsOfDate"/>
    <x:tableColumn id="14" name="ActiveFlag"/>
  </x:tableColumns>
  <x:tableStyleInfo name="TableStyleMedium2" showRowStripes="1"/>
</x:table>
</file>

<file path=xl/tables/table2.xml><?xml version="1.0" encoding="utf-8"?>
<x:table xmlns:x="http://schemas.openxmlformats.org/spreadsheetml/2006/main" id="1" name="StatementBlueprintTable" displayName="StatementBlueprintTable" ref="A4:L200" headerRowCount="1">
  <x:tableColumns count="12">
    <x:tableColumn id="1" name="ProgramID"/>
    <x:tableColumn id="2" name="BridgeID"/>
    <x:tableColumn id="3" name="StatementID"/>
    <x:tableColumn id="4" name="MessagePillar"/>
    <x:tableColumn id="5" name="MedicalStatement"/>
    <x:tableColumn id="6" name="ClaimDomain"/>
    <x:tableColumn id="7" name="StatementPriority"/>
    <x:tableColumn id="8" name="MLRRisk"/>
    <x:tableColumn id="9" name="BAOSRelevance"/>
    <x:tableColumn id="10" name="CIOSRelevance"/>
    <x:tableColumn id="11" name="Status"/>
    <x:tableColumn id="12" name="EligibleForMedicalMap"/>
  </x:tableColumns>
  <x:tableStyleInfo name="TableStyleMedium2" showRowStripes="1"/>
</x:table>
</file>

<file path=xl/tables/table3.xml><?xml version="1.0" encoding="utf-8"?>
<x:table xmlns:x="http://schemas.openxmlformats.org/spreadsheetml/2006/main" id="1" name="EvidenceRegisterTable" displayName="EvidenceRegisterTable" ref="A4:O200" headerRowCount="1">
  <x:tableColumns count="15">
    <x:tableColumn id="1" name="ProgramID"/>
    <x:tableColumn id="2" name="BridgeID"/>
    <x:tableColumn id="3" name="StatementID"/>
    <x:tableColumn id="4" name="EvidenceID"/>
    <x:tableColumn id="5" name="SourceFile"/>
    <x:tableColumn id="6" name="SourceType"/>
    <x:tableColumn id="7" name="EvidenceQuote"/>
    <x:tableColumn id="8" name="EndpointOrFinding"/>
    <x:tableColumn id="9" name="StatisticalStatus"/>
    <x:tableColumn id="10" name="EffectSize"/>
    <x:tableColumn id="11" name="ClaimSupportLevel"/>
    <x:tableColumn id="12" name="DominanceClass"/>
    <x:tableColumn id="13" name="Confidence"/>
    <x:tableColumn id="14" name="Notes"/>
    <x:tableColumn id="15" name="SourceURL"/>
  </x:tableColumns>
  <x:tableStyleInfo name="TableStyleMedium2" showRowStripes="1"/>
</x:table>
</file>

<file path=xl/tables/table4.xml><?xml version="1.0" encoding="utf-8"?>
<x:table xmlns:x="http://schemas.openxmlformats.org/spreadsheetml/2006/main" id="1" name="BAOSEngineTable" displayName="BAOSEngineTable" ref="A1:N200" headerRowCount="1">
  <x:tableColumns count="14">
    <x:tableColumn id="1" name="ProgramID"/>
    <x:tableColumn id="2" name="StatementID"/>
    <x:tableColumn id="3" name="SubBeliefID"/>
    <x:tableColumn id="4" name="MIOS_Output"/>
    <x:tableColumn id="5" name="UmbrellaObjection"/>
    <x:tableColumn id="6" name="BarrierCluster"/>
    <x:tableColumn id="7" name="LensID"/>
    <x:tableColumn id="8" name="ClinicalReasoningLens"/>
    <x:tableColumn id="9" name="SpecificHCPObjection"/>
    <x:tableColumn id="10" name="MIOS_Evidence_Link"/>
    <x:tableColumn id="11" name="EvidenceQuote"/>
    <x:tableColumn id="12" name="ResolutionApproach"/>
    <x:tableColumn id="13" name="Feedback_to_MIOS"/>
    <x:tableColumn id="14" name="Status"/>
  </x:tableColumns>
  <x:tableStyleInfo name="TableStyleMedium2" showRowStripes="1"/>
</x:table>
</file>

<file path=xl/tables/table5.xml><?xml version="1.0" encoding="utf-8"?>
<x:table xmlns:x="http://schemas.openxmlformats.org/spreadsheetml/2006/main" id="1" name="CrossSystemFeedbackLoop" displayName="CrossSystemFeedbackLoop" ref="A1:L8" headerRowCount="1">
  <x:tableColumns count="12">
    <x:tableColumn id="1" name="FeedbackID"/>
    <x:tableColumn id="2" name="SourceSystem"/>
    <x:tableColumn id="3" name="SourceRecordID"/>
    <x:tableColumn id="4" name="TargetSystem"/>
    <x:tableColumn id="5" name="TargetRecordID"/>
    <x:tableColumn id="6" name="FeedbackType"/>
    <x:tableColumn id="7" name="Insight"/>
    <x:tableColumn id="8" name="RecommendedAdjustment"/>
    <x:tableColumn id="9" name="Priority"/>
    <x:tableColumn id="10" name="Status"/>
    <x:tableColumn id="11" name="AppliedFlag"/>
    <x:tableColumn id="12" name="AppliedDate"/>
  </x:tableColumns>
  <x:tableStyleInfo name="TableStyleMedium2" showRowStripes="1"/>
</x:table>
</file>

<file path=xl/tables/table6.xml><?xml version="1.0" encoding="utf-8"?>
<x:table xmlns:x="http://schemas.openxmlformats.org/spreadsheetml/2006/main" id="1" name="BeliefBridgeTable" displayName="BeliefBridgeTable" ref="A4:L200" headerRowCount="1">
  <x:tableColumns count="12">
    <x:tableColumn id="1" name="ProgramID"/>
    <x:tableColumn id="2" name="BridgeID"/>
    <x:tableColumn id="3" name="CurrentBelief"/>
    <x:tableColumn id="4" name="DesiredBelief"/>
    <x:tableColumn id="5" name="SubBeliefBridge"/>
    <x:tableColumn id="6" name="PriorityRank"/>
    <x:tableColumn id="7" name="ImportanceScore"/>
    <x:tableColumn id="8" name="EvidenceNeed"/>
    <x:tableColumn id="9" name="BehavioralRelevance"/>
    <x:tableColumn id="10" name="ForecastRelevance"/>
    <x:tableColumn id="11" name="IncludeInForecast"/>
    <x:tableColumn id="12" name="Status"/>
  </x:tableColumns>
  <x:tableStyleInfo name="TableStyleMedium2" showRowStripes="1"/>
</x:table>
</file>

<file path=xl/tables/table7.xml><?xml version="1.0" encoding="utf-8"?>
<x:table xmlns:x="http://schemas.openxmlformats.org/spreadsheetml/2006/main" id="1" name="EvidenceInterpretationTable" displayName="EvidenceInterpretationTable" ref="A4:N200" headerRowCount="1">
  <x:tableColumns count="14">
    <x:tableColumn id="1" name="ProgramID"/>
    <x:tableColumn id="2" name="StatementID"/>
    <x:tableColumn id="3" name="EvidenceID"/>
    <x:tableColumn id="4" name="ClinicalSignalStrength"/>
    <x:tableColumn id="5" name="StatisticalStatus"/>
    <x:tableColumn id="6" name="StrategicMeaning"/>
    <x:tableColumn id="7" name="MessagingValue"/>
    <x:tableColumn id="8" name="VulnerabilityFlag"/>
    <x:tableColumn id="9" name="ObjectionPotential"/>
    <x:tableColumn id="10" name="BehavioralImplication"/>
    <x:tableColumn id="11" name="AdoptionImpact"/>
    <x:tableColumn id="12" name="ForecastPriorityScore"/>
    <x:tableColumn id="13" name="IncludeInForecast"/>
    <x:tableColumn id="14" name="Comments"/>
  </x:tableColumns>
  <x:tableStyleInfo name="TableStyleMedium2" showRowStripes="1"/>
</x:table>
</file>

<file path=xl/tables/table8.xml><?xml version="1.0" encoding="utf-8"?>
<x:table xmlns:x="http://schemas.openxmlformats.org/spreadsheetml/2006/main" id="1" name="BAOSProfileTable" displayName="BAOSProfileTable" ref="A4:M200" headerRowCount="1">
  <x:tableColumns count="13">
    <x:tableColumn id="1" name="ProgramID"/>
    <x:tableColumn id="2" name="BridgeID"/>
    <x:tableColumn id="3" name="StatementID"/>
    <x:tableColumn id="4" name="Stakeholder"/>
    <x:tableColumn id="5" name="BarrierType"/>
    <x:tableColumn id="6" name="CognitiveRisk"/>
    <x:tableColumn id="7" name="Objection"/>
    <x:tableColumn id="8" name="PerceptionRisk"/>
    <x:tableColumn id="9" name="Likelihood"/>
    <x:tableColumn id="10" name="Severity"/>
    <x:tableColumn id="11" name="MitigationMessage"/>
    <x:tableColumn id="12" name="ForecastImpact"/>
    <x:tableColumn id="13" name="IncludeInCIOS"/>
  </x:tableColumns>
  <x:tableStyleInfo name="TableStyleMedium2" showRowStripes="1"/>
</x:table>
</file>

<file path=xl/tables/table9.xml><?xml version="1.0" encoding="utf-8"?>
<x:table xmlns:x="http://schemas.openxmlformats.org/spreadsheetml/2006/main" id="1" name="CIOSSignalExportTable" displayName="CIOSSignalExportTable" ref="A4:O200" headerRowCount="1">
  <x:tableColumns count="15">
    <x:tableColumn id="1" name="ProgramID"/>
    <x:tableColumn id="2" name="Brand"/>
    <x:tableColumn id="3" name="StrategicQuestion"/>
    <x:tableColumn id="4" name="SignalID"/>
    <x:tableColumn id="5" name="SignalLabel"/>
    <x:tableColumn id="6" name="SignalCategory"/>
    <x:tableColumn id="7" name="Direction"/>
    <x:tableColumn id="8" name="Strength"/>
    <x:tableColumn id="9" name="Confidence"/>
    <x:tableColumn id="10" name="SourceLayer"/>
    <x:tableColumn id="11" name="SourceReference"/>
    <x:tableColumn id="12" name="WhyItMatters"/>
    <x:tableColumn id="13" name="ForecastDomain"/>
    <x:tableColumn id="14" name="Rank"/>
    <x:tableColumn id="15" name="ActiveFlag"/>
  </x:tableColumns>
  <x:tableStyleInfo name="TableStyleMedium2" showRowStripes="1"/>
</x:table>
</file>

<file path=xl/tables/table10.xml><?xml version="1.0" encoding="utf-8"?>
<x:table xmlns:x="http://schemas.openxmlformats.org/spreadsheetml/2006/main" id="1" name="TraceabilityMapTable" displayName="TraceabilityMapTable" ref="A4:J200" headerRowCount="1">
  <x:tableColumns count="10">
    <x:tableColumn id="1" name="ProgramID"/>
    <x:tableColumn id="2" name="BridgeID"/>
    <x:tableColumn id="3" name="StatementID"/>
    <x:tableColumn id="4" name="EvidenceID"/>
    <x:tableColumn id="5" name="BAOSID"/>
    <x:tableColumn id="6" name="SignalID"/>
    <x:tableColumn id="7" name="TraceStatus"/>
    <x:tableColumn id="8" name="LastReviewed"/>
    <x:tableColumn id="9" name="Owner"/>
    <x:tableColumn id="10" name="Notes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b3b3cb5bf2840c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1.xml" Id="R2a5634c248f74f43" /><Relationship Type="http://schemas.openxmlformats.org/officeDocument/2006/relationships/vmlDrawing" Target="/xl/drawings/vmldrawing.vml" Id="Rba5e8707ad5c4ce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2.xml" Id="Rc977b2a01fc04cfc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3.xml" Id="R1303103055344743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comments" Target="/xl/comments2.xml" Id="Rbb40461426d14275" /><Relationship Type="http://schemas.openxmlformats.org/officeDocument/2006/relationships/vmlDrawing" Target="/xl/drawings/vmldrawing2.vml" Id="Rc1875c93193d4b50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4.xml" Id="R68cffc500ece45be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5.xml" Id="Re9b1119b7ba44b58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6.xml" Id="Raaaefc1131684a1d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7.xml" Id="R1cdd653a715d4b99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table" Target="/xl/tables/table8.xml" Id="Rbb0ee71fc1c44b53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table" Target="/xl/tables/table9.xml" Id="R8574bfdbe66642f9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table" Target="/xl/tables/table10.xml" Id="R8d9050be8643493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8" style="11" hidden="0" customWidth="1"/>
    <x:col min="2" max="2" width="68" hidden="0" customWidth="1"/>
  </x:cols>
  <x:sheetData>
    <x:row r="1" s="12" customFormat="1" ht="15" customHeight="1">
      <x:c r="A1" s="13" t="inlineStr">
        <x:is>
          <x:t xml:space="preserve">MIOS Engine V11 - developer handoff patch</x:t>
        </x:is>
      </x:c>
    </x:row>
    <x:row r="2" s="12" customFormat="1" ht="15" customHeight="1">
      <x:c r="A2" s="14" t="n"/>
    </x:row>
    <x:row r="3" s="12" customFormat="1" ht="15" customHeight="1">
      <x:c r="A3" s="15" t="inlineStr">
        <x:is>
          <x:t xml:space="preserve">Purpose</x:t>
        </x:is>
      </x:c>
    </x:row>
    <x:row r="4" s="12" customFormat="1" ht="28.350000381469727" customHeight="1">
      <x:c r="A4" s="16" t="inlineStr">
        <x:is>
          <x:t xml:space="preserve">This workbook is the developer-facing specification for MIOS. It now includes populated rule tables, a worked example, audit fields, and explicit extraction controls.</x:t>
        </x:is>
      </x:c>
    </x:row>
    <x:row r="5" s="12" customFormat="1" ht="15" customHeight="1">
      <x:c r="A5" s="14" t="n"/>
    </x:row>
    <x:row r="6" s="12" customFormat="1" ht="15" customHeight="1">
      <x:c r="A6" s="15" t="inlineStr">
        <x:is>
          <x:t xml:space="preserve">Core flow</x:t>
        </x:is>
      </x:c>
    </x:row>
    <x:row r="7" s="12" customFormat="1" ht="15" customHeight="1">
      <x:c r="A7" s="16" t="inlineStr">
        <x:is>
          <x:t xml:space="preserve">1. Program_Header -&gt; define program</x:t>
        </x:is>
      </x:c>
    </x:row>
    <x:row r="8" s="12" customFormat="1" ht="15" customHeight="1">
      <x:c r="A8" s="16" t="inlineStr">
        <x:is>
          <x:t xml:space="preserve">2. Belief_Shift_Canvas -&gt; capture belief gap context</x:t>
        </x:is>
      </x:c>
    </x:row>
    <x:row r="9" s="12" customFormat="1" ht="15" customHeight="1">
      <x:c r="A9" s="16" t="inlineStr">
        <x:is>
          <x:t xml:space="preserve">3. Belief_to_Statement_Engine -&gt; decompose into sub-beliefs and statements</x:t>
        </x:is>
      </x:c>
    </x:row>
    <x:row r="10" s="12" customFormat="1" ht="15" customHeight="1">
      <x:c r="A10" s="16" t="inlineStr">
        <x:is>
          <x:t xml:space="preserve">4. Extraction_Contract + Acquisition_List -&gt; define and source literature</x:t>
        </x:is>
      </x:c>
    </x:row>
    <x:row r="11" s="12" customFormat="1" ht="15" customHeight="1">
      <x:c r="A11" s="16" t="inlineStr">
        <x:is>
          <x:t xml:space="preserve">5. Candidate_Evidence -&gt; verbatim extraction candidates only</x:t>
        </x:is>
      </x:c>
    </x:row>
    <x:row r="12" s="12" customFormat="1" ht="15" customHeight="1">
      <x:c r="A12" s="16" t="inlineStr">
        <x:is>
          <x:t xml:space="preserve">6. Validation_Log -&gt; candidate-level audit</x:t>
        </x:is>
      </x:c>
    </x:row>
    <x:row r="13" s="12" customFormat="1" ht="15" customHeight="1">
      <x:c r="A13" s="16" t="inlineStr">
        <x:is>
          <x:t xml:space="preserve">7. Validation_Engine -&gt; statement-level summary</x:t>
        </x:is>
      </x:c>
    </x:row>
    <x:row r="14" s="12" customFormat="1" ht="15" customHeight="1">
      <x:c r="A14" s="16" t="inlineStr">
        <x:is>
          <x:t xml:space="preserve">8. Evidence_Register -&gt; only validated evidence</x:t>
        </x:is>
      </x:c>
    </x:row>
    <x:row r="15" s="12" customFormat="1" ht="15" customHeight="1">
      <x:c r="A15" s="16" t="inlineStr">
        <x:is>
          <x:t xml:space="preserve">9. Medical_Map_Output -&gt; only statements with validated evidence</x:t>
        </x:is>
      </x:c>
    </x:row>
    <x:row r="16" s="12" customFormat="1" ht="15" customHeight="1">
      <x:c r="A16" s="16" t="inlineStr">
        <x:is>
          <x:t xml:space="preserve">10. MIOS_to_OHOS_Interface / MIOS_to_CIOS_Interface -&gt; downstream handoffs</x:t>
        </x:is>
      </x:c>
    </x:row>
    <x:row r="17" s="12" customFormat="1" ht="15" customHeight="1">
      <x:c r="A17" s="14" t="n"/>
    </x:row>
    <x:row r="18" s="12" customFormat="1" ht="15" customHeight="1">
      <x:c r="A18" s="14" t="n"/>
    </x:row>
    <x:row r="19" s="12" customFormat="1" ht="15" customHeight="1">
      <x:c r="A19" s="17" t="inlineStr">
        <x:is>
          <x:t xml:space="preserve">Implementation rules</x:t>
        </x:is>
      </x:c>
    </x:row>
    <x:row r="20" s="12" customFormat="1" ht="15" customHeight="1">
      <x:c r="A20" s="16" t="inlineStr">
        <x:is>
          <x:t xml:space="preserve">Do not paraphrase evidence in extraction.</x:t>
        </x:is>
      </x:c>
    </x:row>
    <x:row r="21" s="12" customFormat="1" ht="15" customHeight="1">
      <x:c r="A21" s="16" t="inlineStr">
        <x:is>
          <x:t xml:space="preserve">Candidate_Evidence is not validated evidence.</x:t>
        </x:is>
      </x:c>
    </x:row>
    <x:row r="22" s="12" customFormat="1" ht="15" customHeight="1">
      <x:c r="A22" s="16" t="inlineStr">
        <x:is>
          <x:t xml:space="preserve">Medical_Map_Output rows must have at least one validated Evidence_Register row.</x:t>
        </x:is>
      </x:c>
    </x:row>
    <x:row r="23" s="12" customFormat="1" ht="15" customHeight="1">
      <x:c r="A23" s="16" t="inlineStr">
        <x:is>
          <x:t xml:space="preserve">StatementID convention: {ProgramID}_STxx to keep global uniqueness.</x:t>
        </x:is>
      </x:c>
    </x:row>
    <x:row r="24" s="12" customFormat="1" ht="15" customHeight="1">
      <x:c r="A24" s="16" t="inlineStr">
        <x:is>
          <x:t xml:space="preserve">ProgramID is present on downstream tables for traceability.</x:t>
        </x:is>
      </x:c>
    </x:row>
    <x:row r="25"/>
    <x:row r="26">
      <x:c r="A26" s="18" t="inlineStr">
        <x:is>
          <x:t xml:space="preserve">V12 patch notes</x:t>
        </x:is>
      </x:c>
    </x:row>
    <x:row r="27">
      <x:c r="A27" t="inlineStr">
        <x:is>
          <x:t xml:space="preserve">Evidence_Register now includes PMID for literature traceability.</x:t>
        </x:is>
      </x:c>
    </x:row>
    <x:row r="28">
      <x:c r="A28" t="inlineStr">
        <x:is>
          <x:t xml:space="preserve">EvidenceStrength uses a 1-5 scale defined in Evidence_Strength_Lookup and must be derived from validated evidence, not entered freehand.</x:t>
        </x:is>
      </x:c>
    </x:row>
    <x:row r="29">
      <x:c r="A29" t="inlineStr">
        <x:is>
          <x:t xml:space="preserve">Routing to OHOS/CIOS is controlled by Interface_Routing_Rules.</x:t>
        </x:is>
      </x:c>
    </x:row>
    <x:row r="30">
      <x:c r="A30" t="inlineStr">
        <x:is>
          <x:t xml:space="preserve">Promotion from Statement_Blueprint to Medical_Map_Output depends on statement approval plus validated evidence per System_Gating_Rules.</x:t>
        </x:is>
      </x:c>
    </x:row>
    <x:row r="32">
      <x:c r="A32" s="63" t="str">
        <x:v>V13 BAOS addition: BAOS_Cluster_Lookup, BAOS_Lens_Library, BAOS_Engine, and BAOS_Wall were added to formalize objection-handler architecture inside the workbook.</x:v>
      </x:c>
    </x:row>
    <x:row r="33">
      <x:c r="A33" s="63" t="str">
        <x:v>BAOS_Engine is linked to MIOS_to_OHOS_Interface and Medical_Map_Output, enabling objection rows to inherit statement and evidence context directly from MIOS.</x:v>
      </x:c>
    </x:row>
    <x:row r="34">
      <x:c r="A34" s="63" t="str">
        <x:v>BAOS_Wall provides the conceptual dashboard; BAOS_Lens_Library stores the 25-lens framework; BAOS_Cluster_Lookup stores the six barrier clusters.</x:v>
      </x:c>
    </x:row>
    <x:row r="35">
      <x:c r="A35" s="63" t="str">
        <x:v>Next build step: extend BAOS_Engine generation rules so additional rows are auto-created from MIOS_to_OHOS_Interface.</x:v>
      </x:c>
    </x:row>
    <x:row r="36">
      <x:c r="A36" s="63" t="str">
        <x:v>Current example rows are seeded for the HIV_LAI_LAUNCH worked example.</x:v>
      </x:c>
    </x:row>
    <x:row r="38">
      <x:c r="A38" s="81" t="str">
        <x:v>BAOS automation update</x:v>
      </x:c>
      <x:c r="B38" s="81" t="str"/>
    </x:row>
    <x:row r="39">
      <x:c r="A39" s="78" t="str">
        <x:v>What changed</x:v>
      </x:c>
      <x:c r="B39" s="63" t="str">
        <x:v>BAOS_Engine now generates objection rows from MIOS_to_OHOS_Interface using BAOS_ClaimType_Lens_Map.</x:v>
      </x:c>
    </x:row>
    <x:row r="40">
      <x:c r="A40" s="78" t="str">
        <x:v>Current workbook status</x:v>
      </x:c>
      <x:c r="B40" s="63" t="str">
        <x:v>28 BAOS rows generated from 2 routed MIOS statements.</x:v>
      </x:c>
    </x:row>
    <x:row r="41">
      <x:c r="A41" s="78" t="str">
        <x:v>Generation logic</x:v>
      </x:c>
      <x:c r="B41" s="63" t="str">
        <x:v>Each routed MIOS statement expands into one or more BAOS lens rows based on claim-type lens mapping.</x:v>
      </x:c>
    </x:row>
    <x:row r="42">
      <x:c r="A42" s="78" t="str">
        <x:v>Helper fields added</x:v>
      </x:c>
      <x:c r="B42" s="63" t="str">
        <x:v>MIOS_to_OHOS_Interface columns I:L calculate lens counts and generation totals.</x:v>
      </x:c>
    </x:row>
    <x:row r="43">
      <x:c r="A43" s="78" t="str">
        <x:v>Key new sheet</x:v>
      </x:c>
      <x:c r="B43" s="63" t="str">
        <x:v>BAOS_ClaimType_Lens_Map</x:v>
      </x:c>
    </x:row>
    <x:row r="44">
      <x:c r="A44" s="78" t="str">
        <x:v>How to use</x:v>
      </x:c>
      <x:c r="B44" s="63" t="str">
        <x:v>Add or edit MIOS_to_OHOS_Interface rows, then regenerate BAOS_Engine from the same mapping logic if you want the BAOS output refreshed.</x:v>
      </x:c>
    </x:row>
    <x:row r="45">
      <x:c r="A45" s="78" t="str">
        <x:v>Supported claim types</x:v>
      </x:c>
      <x:c r="B45" s="63" t="str">
        <x:v>Clinical efficacy; Mechanism; Endpoint interpretation; Practice pattern; Generalizability; Safety; Comparative</x:v>
      </x:c>
    </x:row>
    <x:row r="47">
      <x:c r="A47" s="110" t="str">
        <x:v>New in this version</x:v>
      </x:c>
      <x:c r="B47" s="110"/>
    </x:row>
    <x:row r="48">
      <x:c r="A48" s="107" t="str">
        <x:v>Cross_System_Feedback_Loop</x:v>
      </x:c>
      <x:c r="B48" s="105" t="str">
        <x:v>Dedicated operational loop sheet for MIOS ↔ BAOS ↔ PIOS feedback capture and execution tracking.</x:v>
      </x:c>
    </x:row>
    <x:row r="49">
      <x:c r="A49" s="107" t="str">
        <x:v>FeedbackID</x:v>
      </x:c>
      <x:c r="B49" s="105" t="str">
        <x:v>Unique loop record identifier.</x:v>
      </x:c>
    </x:row>
    <x:row r="50">
      <x:c r="A50" s="107" t="str">
        <x:v>SourceSystem / SourceRecordID</x:v>
      </x:c>
      <x:c r="B50" s="105" t="str">
        <x:v>Originating system and originating record for the insight.</x:v>
      </x:c>
    </x:row>
    <x:row r="51">
      <x:c r="A51" s="107" t="str">
        <x:v>TargetSystem / TargetRecordID</x:v>
      </x:c>
      <x:c r="B51" s="105" t="str">
        <x:v>Destination system and target record that should be updated.</x:v>
      </x:c>
    </x:row>
    <x:row r="52">
      <x:c r="A52" s="107" t="str">
        <x:v>FeedbackType / Insight</x:v>
      </x:c>
      <x:c r="B52" s="105" t="str">
        <x:v>What was learned and why it matters.</x:v>
      </x:c>
    </x:row>
    <x:row r="53">
      <x:c r="A53" s="107" t="str">
        <x:v>RecommendedAdjustment</x:v>
      </x:c>
      <x:c r="B53" s="105" t="str">
        <x:v>Explicit next action required in the target system.</x:v>
      </x:c>
    </x:row>
    <x:row r="54">
      <x:c r="A54" s="107" t="str">
        <x:v>Priority / Status / AppliedFlag / AppliedDate</x:v>
      </x:c>
      <x:c r="B54" s="105" t="str">
        <x:v>Controls for triage, execution state, and loop closure.</x:v>
      </x:c>
    </x:row>
    <x:row r="55">
      <x:c r="A55" s="107" t="str">
        <x:v>Design intent</x:v>
      </x:c>
      <x:c r="B55" s="105" t="str">
        <x:v>Makes cross-system feedback operational rather than conceptual.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0" style="11" hidden="0" customWidth="1"/>
    <x:col min="2" max="2" width="16" style="11" hidden="0" customWidth="1"/>
    <x:col min="3" max="3" width="20" style="11" hidden="0" customWidth="1"/>
    <x:col min="4" max="4" width="24" style="11" hidden="0" customWidth="1"/>
    <x:col min="5" max="5" width="18" style="11" hidden="0" customWidth="1"/>
    <x:col min="6" max="6" width="24" style="11" hidden="0" customWidth="1"/>
    <x:col min="7" max="7" width="40" style="11" hidden="0" customWidth="1"/>
    <x:col min="8" max="8" width="40" style="11" hidden="0" customWidth="1"/>
    <x:col min="9" max="9" width="42" style="11" hidden="0" customWidth="1"/>
    <x:col min="10" max="10" width="16" style="11" hidden="0" customWidth="1"/>
    <x:col min="11" max="11" width="14" style="11" hidden="0" customWidth="1"/>
    <x:col min="12" max="12" width="18" hidden="0" customWidth="1"/>
    <x:col min="13" max="13" width="13" hidden="0" customWidth="1"/>
    <x:col min="14" max="14" width="10" hidden="0" customWidth="1"/>
  </x:cols>
  <x:sheetData>
    <x:row r="1" s="12" customFormat="1" ht="17.08984375" hidden="0" customHeight="1">
      <x:c r="A1" s="152" t="str">
        <x:v>Program Header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 s="12" customFormat="1" ht="119.62890625" hidden="0" customHeight="1">
      <x:c r="A2" s="155" t="str">
        <x:v>One row per active brand / audience / strategic question. This sheet controls filtering downstream.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</x:row>
    <x:row r="4" ht="34.1796875" hidden="0" customHeight="1">
      <x:c r="A4" s="127" t="str">
        <x:v>ProgramID</x:v>
      </x:c>
      <x:c r="B4" s="159" t="str">
        <x:v>Brand</x:v>
      </x:c>
      <x:c r="C4" s="159" t="str">
        <x:v>Company</x:v>
      </x:c>
      <x:c r="D4" s="159" t="str">
        <x:v>Molecule</x:v>
      </x:c>
      <x:c r="E4" s="159" t="str">
        <x:v>Indication</x:v>
      </x:c>
      <x:c r="F4" s="159" t="str">
        <x:v>Audience</x:v>
      </x:c>
      <x:c r="G4" s="159" t="str">
        <x:v>CurrentBelief</x:v>
      </x:c>
      <x:c r="H4" s="159" t="str">
        <x:v>DesiredBelief</x:v>
      </x:c>
      <x:c r="I4" s="159" t="str">
        <x:v>StrategicQuestion</x:v>
      </x:c>
      <x:c r="J4" s="159" t="str">
        <x:v>ForecastHorizonMonths</x:v>
      </x:c>
      <x:c r="K4" s="159" t="str">
        <x:v>ProgramType</x:v>
      </x:c>
      <x:c r="L4" s="159" t="str">
        <x:v>Owner</x:v>
      </x:c>
      <x:c r="M4" s="159" t="str">
        <x:v>AsOfDate</x:v>
      </x:c>
      <x:c r="N4" s="128" t="str">
        <x:v>ActiveFlag</x:v>
      </x:c>
    </x:row>
    <x:row r="5" ht="68.359375" hidden="0" customHeight="1">
      <x:c r="A5" s="143" t="str">
        <x:v>HIV_LAI_LAUNCH</x:v>
      </x:c>
      <x:c r="B5" s="164" t="str">
        <x:v>Cabenuva</x:v>
      </x:c>
      <x:c r="C5" s="164" t="str">
        <x:v>ViiV Healthcare</x:v>
      </x:c>
      <x:c r="D5" s="164" t="str">
        <x:v>cabotegravir + rilpivirine</x:v>
      </x:c>
      <x:c r="E5" s="164" t="str">
        <x:v>HIV</x:v>
      </x:c>
      <x:c r="F5" s="164" t="str">
        <x:v>Infectious Disease HCPs</x:v>
      </x:c>
      <x:c r="G5" s="164" t="str">
        <x:v>Oral regimens remain the most reliable HIV treatment approach.</x:v>
      </x:c>
      <x:c r="H5" s="164" t="str">
        <x:v>Long-acting injectable therapy represents a meaningful advance for appropriate patients and should be actively considered.</x:v>
      </x:c>
      <x:c r="I5" s="164" t="str">
        <x:v>Will belief-shift evidence reduce adoption friction for LAI therapy?</x:v>
      </x:c>
      <x:c r="J5" s="166" t="str">
        <x:v>12</x:v>
      </x:c>
      <x:c r="K5" s="164" t="str">
        <x:v>Branded</x:v>
      </x:c>
      <x:c r="L5" s="164" t="str">
        <x:v>Medical Strategy</x:v>
      </x:c>
      <x:c r="M5" s="169" t="str">
        <x:v>2026-03-13</x:v>
      </x:c>
      <x:c r="N5" s="144" t="str">
        <x:v>Yes</x:v>
      </x:c>
    </x:row>
    <x:row r="6" ht="17.08984375" hidden="0" customHeight="1">
      <x:c r="A6" s="147" t="str"/>
      <x:c r="B6" s="165" t="str"/>
      <x:c r="C6" s="165" t="str"/>
      <x:c r="D6" s="165" t="str"/>
      <x:c r="E6" s="165" t="str"/>
      <x:c r="F6" s="165" t="str"/>
      <x:c r="G6" s="165" t="str"/>
      <x:c r="H6" s="165" t="str"/>
      <x:c r="I6" s="165" t="str"/>
      <x:c r="J6" s="167" t="str"/>
      <x:c r="K6" s="165" t="str"/>
      <x:c r="L6" s="165" t="str"/>
      <x:c r="M6" s="170" t="str"/>
      <x:c r="N6" s="148" t="str"/>
    </x:row>
    <x:row r="7" ht="17.08984375" hidden="0" customHeight="1">
      <x:c r="J7" s="168"/>
      <x:c r="M7" s="100"/>
    </x:row>
    <x:row r="8" ht="17.08984375" hidden="0" customHeight="1">
      <x:c r="J8" s="168"/>
      <x:c r="M8" s="100"/>
    </x:row>
    <x:row r="9" ht="17.08984375" hidden="0" customHeight="1">
      <x:c r="J9" s="168"/>
      <x:c r="M9" s="100"/>
    </x:row>
    <x:row r="10" ht="17.08984375" hidden="0" customHeight="1">
      <x:c r="J10" s="168"/>
      <x:c r="M10" s="100"/>
    </x:row>
    <x:row r="11" ht="17.08984375" hidden="0" customHeight="1">
      <x:c r="J11" s="168"/>
      <x:c r="M11" s="100"/>
    </x:row>
    <x:row r="12" ht="17.08984375" hidden="0" customHeight="1">
      <x:c r="J12" s="168"/>
      <x:c r="M12" s="100"/>
    </x:row>
    <x:row r="13" ht="17.08984375" hidden="0" customHeight="1">
      <x:c r="J13" s="168"/>
      <x:c r="M13" s="100"/>
    </x:row>
    <x:row r="14" ht="17.08984375" hidden="0" customHeight="1">
      <x:c r="J14" s="168"/>
      <x:c r="M14" s="100"/>
    </x:row>
    <x:row r="15" ht="17.08984375" hidden="0" customHeight="1">
      <x:c r="J15" s="168"/>
      <x:c r="M15" s="100"/>
    </x:row>
    <x:row r="16" ht="17.08984375" hidden="0" customHeight="1">
      <x:c r="J16" s="168"/>
      <x:c r="M16" s="100"/>
    </x:row>
    <x:row r="17" ht="17.08984375" hidden="0" customHeight="1">
      <x:c r="J17" s="168"/>
      <x:c r="M17" s="100"/>
    </x:row>
    <x:row r="18" ht="17.08984375" hidden="0" customHeight="1">
      <x:c r="J18" s="168"/>
      <x:c r="M18" s="100"/>
    </x:row>
    <x:row r="19" ht="17.08984375" hidden="0" customHeight="1">
      <x:c r="J19" s="168"/>
      <x:c r="M19" s="100"/>
    </x:row>
    <x:row r="20" ht="17.08984375" hidden="0" customHeight="1">
      <x:c r="J20" s="168"/>
      <x:c r="M20" s="100"/>
    </x:row>
    <x:row r="21" ht="17.08984375" hidden="0" customHeight="1">
      <x:c r="J21" s="168"/>
      <x:c r="M21" s="100"/>
    </x:row>
    <x:row r="22" ht="17.08984375" hidden="0" customHeight="1">
      <x:c r="J22" s="168"/>
      <x:c r="M22" s="100"/>
    </x:row>
    <x:row r="23" ht="17.08984375" hidden="0" customHeight="1">
      <x:c r="J23" s="168"/>
      <x:c r="M23" s="100"/>
    </x:row>
    <x:row r="24" ht="17.08984375" hidden="0" customHeight="1">
      <x:c r="J24" s="168"/>
      <x:c r="M24" s="100"/>
    </x:row>
    <x:row r="25" ht="17.08984375" hidden="0" customHeight="1">
      <x:c r="J25" s="168"/>
      <x:c r="M25" s="100"/>
    </x:row>
    <x:row r="26" ht="17.08984375" hidden="0" customHeight="1">
      <x:c r="J26" s="168"/>
      <x:c r="M26" s="100"/>
    </x:row>
    <x:row r="27" ht="17.08984375" hidden="0" customHeight="1">
      <x:c r="J27" s="168"/>
      <x:c r="M27" s="100"/>
    </x:row>
    <x:row r="28" ht="17.08984375" hidden="0" customHeight="1">
      <x:c r="J28" s="168"/>
      <x:c r="M28" s="100"/>
    </x:row>
    <x:row r="29" ht="17.08984375" hidden="0" customHeight="1">
      <x:c r="J29" s="168"/>
      <x:c r="M29" s="100"/>
    </x:row>
    <x:row r="30" ht="17.08984375" hidden="0" customHeight="1">
      <x:c r="J30" s="168"/>
      <x:c r="M30" s="100"/>
    </x:row>
    <x:row r="31" ht="17.08984375" hidden="0" customHeight="1">
      <x:c r="J31" s="168"/>
      <x:c r="M31" s="100"/>
    </x:row>
    <x:row r="32" ht="17.08984375" hidden="0" customHeight="1">
      <x:c r="J32" s="168"/>
      <x:c r="M32" s="100"/>
    </x:row>
    <x:row r="33" ht="17.08984375" hidden="0" customHeight="1">
      <x:c r="J33" s="168"/>
      <x:c r="M33" s="100"/>
    </x:row>
    <x:row r="34" ht="17.08984375" hidden="0" customHeight="1">
      <x:c r="J34" s="168"/>
      <x:c r="M34" s="100"/>
    </x:row>
    <x:row r="35" ht="17.08984375" hidden="0" customHeight="1">
      <x:c r="J35" s="168"/>
      <x:c r="M35" s="100"/>
    </x:row>
    <x:row r="36" ht="17.08984375" hidden="0" customHeight="1">
      <x:c r="J36" s="168"/>
      <x:c r="M36" s="100"/>
    </x:row>
    <x:row r="37" ht="17.08984375" hidden="0" customHeight="1">
      <x:c r="J37" s="168"/>
      <x:c r="M37" s="100"/>
    </x:row>
    <x:row r="38" ht="17.08984375" hidden="0" customHeight="1">
      <x:c r="J38" s="168"/>
      <x:c r="M38" s="100"/>
    </x:row>
    <x:row r="39" ht="17.08984375" hidden="0" customHeight="1">
      <x:c r="J39" s="168"/>
      <x:c r="M39" s="100"/>
    </x:row>
    <x:row r="40" ht="17.08984375" hidden="0" customHeight="1">
      <x:c r="J40" s="168"/>
      <x:c r="M40" s="100"/>
    </x:row>
    <x:row r="41">
      <x:c r="J41" s="168"/>
      <x:c r="M41" s="100"/>
    </x:row>
    <x:row r="42">
      <x:c r="J42" s="168"/>
      <x:c r="M42" s="100"/>
    </x:row>
    <x:row r="43">
      <x:c r="J43" s="168"/>
      <x:c r="M43" s="100"/>
    </x:row>
    <x:row r="44">
      <x:c r="J44" s="168"/>
      <x:c r="M44" s="100"/>
    </x:row>
    <x:row r="45">
      <x:c r="J45" s="168"/>
      <x:c r="M45" s="100"/>
    </x:row>
    <x:row r="46">
      <x:c r="J46" s="168"/>
      <x:c r="M46" s="100"/>
    </x:row>
    <x:row r="47">
      <x:c r="J47" s="168"/>
      <x:c r="M47" s="100"/>
    </x:row>
    <x:row r="48">
      <x:c r="J48" s="168"/>
      <x:c r="M48" s="100"/>
    </x:row>
    <x:row r="49">
      <x:c r="J49" s="168"/>
      <x:c r="M49" s="100"/>
    </x:row>
    <x:row r="50">
      <x:c r="J50" s="168"/>
      <x:c r="M50" s="100"/>
    </x:row>
    <x:row r="51">
      <x:c r="J51" s="168"/>
      <x:c r="M51" s="100"/>
    </x:row>
    <x:row r="52">
      <x:c r="J52" s="168"/>
      <x:c r="M52" s="100"/>
    </x:row>
    <x:row r="53">
      <x:c r="J53" s="168"/>
      <x:c r="M53" s="100"/>
    </x:row>
    <x:row r="54">
      <x:c r="J54" s="168"/>
      <x:c r="M54" s="100"/>
    </x:row>
    <x:row r="55">
      <x:c r="J55" s="168"/>
      <x:c r="M55" s="100"/>
    </x:row>
    <x:row r="56">
      <x:c r="J56" s="168"/>
      <x:c r="M56" s="100"/>
    </x:row>
    <x:row r="57">
      <x:c r="J57" s="168"/>
      <x:c r="M57" s="100"/>
    </x:row>
    <x:row r="58">
      <x:c r="J58" s="168"/>
      <x:c r="M58" s="100"/>
    </x:row>
    <x:row r="59">
      <x:c r="J59" s="168"/>
      <x:c r="M59" s="100"/>
    </x:row>
    <x:row r="60">
      <x:c r="J60" s="168"/>
      <x:c r="M60" s="100"/>
    </x:row>
    <x:row r="61">
      <x:c r="J61" s="168"/>
      <x:c r="M61" s="100"/>
    </x:row>
    <x:row r="62">
      <x:c r="J62" s="168"/>
      <x:c r="M62" s="100"/>
    </x:row>
    <x:row r="63">
      <x:c r="J63" s="168"/>
      <x:c r="M63" s="100"/>
    </x:row>
    <x:row r="64">
      <x:c r="J64" s="168"/>
      <x:c r="M64" s="100"/>
    </x:row>
    <x:row r="65">
      <x:c r="J65" s="168"/>
      <x:c r="M65" s="100"/>
    </x:row>
    <x:row r="66">
      <x:c r="J66" s="168"/>
      <x:c r="M66" s="100"/>
    </x:row>
    <x:row r="67">
      <x:c r="J67" s="168"/>
      <x:c r="M67" s="100"/>
    </x:row>
    <x:row r="68">
      <x:c r="J68" s="168"/>
      <x:c r="M68" s="100"/>
    </x:row>
    <x:row r="69">
      <x:c r="J69" s="168"/>
      <x:c r="M69" s="100"/>
    </x:row>
    <x:row r="70">
      <x:c r="J70" s="168"/>
      <x:c r="M70" s="100"/>
    </x:row>
    <x:row r="71">
      <x:c r="J71" s="168"/>
      <x:c r="M71" s="100"/>
    </x:row>
    <x:row r="72">
      <x:c r="J72" s="168"/>
      <x:c r="M72" s="100"/>
    </x:row>
    <x:row r="73">
      <x:c r="J73" s="168"/>
      <x:c r="M73" s="100"/>
    </x:row>
    <x:row r="74">
      <x:c r="J74" s="168"/>
      <x:c r="M74" s="100"/>
    </x:row>
    <x:row r="75">
      <x:c r="J75" s="168"/>
      <x:c r="M75" s="100"/>
    </x:row>
    <x:row r="76">
      <x:c r="J76" s="168"/>
      <x:c r="M76" s="100"/>
    </x:row>
    <x:row r="77">
      <x:c r="J77" s="168"/>
      <x:c r="M77" s="100"/>
    </x:row>
    <x:row r="78">
      <x:c r="J78" s="168"/>
      <x:c r="M78" s="100"/>
    </x:row>
    <x:row r="79">
      <x:c r="J79" s="168"/>
      <x:c r="M79" s="100"/>
    </x:row>
    <x:row r="80">
      <x:c r="J80" s="168"/>
      <x:c r="M80" s="100"/>
    </x:row>
    <x:row r="81">
      <x:c r="J81" s="168"/>
      <x:c r="M81" s="100"/>
    </x:row>
    <x:row r="82">
      <x:c r="J82" s="168"/>
      <x:c r="M82" s="100"/>
    </x:row>
    <x:row r="83">
      <x:c r="J83" s="168"/>
      <x:c r="M83" s="100"/>
    </x:row>
    <x:row r="84">
      <x:c r="J84" s="168"/>
      <x:c r="M84" s="100"/>
    </x:row>
    <x:row r="85">
      <x:c r="J85" s="168"/>
      <x:c r="M85" s="100"/>
    </x:row>
    <x:row r="86">
      <x:c r="J86" s="168"/>
      <x:c r="M86" s="100"/>
    </x:row>
    <x:row r="87">
      <x:c r="J87" s="168"/>
      <x:c r="M87" s="100"/>
    </x:row>
    <x:row r="88">
      <x:c r="J88" s="168"/>
      <x:c r="M88" s="100"/>
    </x:row>
    <x:row r="89">
      <x:c r="J89" s="168"/>
      <x:c r="M89" s="100"/>
    </x:row>
    <x:row r="90">
      <x:c r="J90" s="168"/>
      <x:c r="M90" s="100"/>
    </x:row>
    <x:row r="91">
      <x:c r="J91" s="168"/>
      <x:c r="M91" s="100"/>
    </x:row>
    <x:row r="92">
      <x:c r="J92" s="168"/>
      <x:c r="M92" s="100"/>
    </x:row>
    <x:row r="93">
      <x:c r="J93" s="168"/>
      <x:c r="M93" s="100"/>
    </x:row>
    <x:row r="94">
      <x:c r="J94" s="168"/>
      <x:c r="M94" s="100"/>
    </x:row>
    <x:row r="95">
      <x:c r="J95" s="168"/>
      <x:c r="M95" s="100"/>
    </x:row>
    <x:row r="96">
      <x:c r="J96" s="168"/>
      <x:c r="M96" s="100"/>
    </x:row>
    <x:row r="97">
      <x:c r="J97" s="168"/>
      <x:c r="M97" s="100"/>
    </x:row>
    <x:row r="98">
      <x:c r="J98" s="168"/>
      <x:c r="M98" s="100"/>
    </x:row>
    <x:row r="99">
      <x:c r="J99" s="168"/>
      <x:c r="M99" s="100"/>
    </x:row>
    <x:row r="100">
      <x:c r="J100" s="168"/>
      <x:c r="M100" s="100"/>
    </x:row>
    <x:row r="101">
      <x:c r="J101" s="168"/>
      <x:c r="M101" s="100"/>
    </x:row>
    <x:row r="102">
      <x:c r="J102" s="168"/>
      <x:c r="M102" s="100"/>
    </x:row>
    <x:row r="103">
      <x:c r="J103" s="168"/>
      <x:c r="M103" s="100"/>
    </x:row>
    <x:row r="104">
      <x:c r="J104" s="168"/>
      <x:c r="M104" s="100"/>
    </x:row>
    <x:row r="105">
      <x:c r="J105" s="168"/>
      <x:c r="M105" s="100"/>
    </x:row>
    <x:row r="106">
      <x:c r="J106" s="168"/>
      <x:c r="M106" s="100"/>
    </x:row>
    <x:row r="107">
      <x:c r="J107" s="168"/>
      <x:c r="M107" s="100"/>
    </x:row>
    <x:row r="108">
      <x:c r="J108" s="168"/>
      <x:c r="M108" s="100"/>
    </x:row>
    <x:row r="109">
      <x:c r="J109" s="168"/>
      <x:c r="M109" s="100"/>
    </x:row>
    <x:row r="110">
      <x:c r="J110" s="168"/>
      <x:c r="M110" s="100"/>
    </x:row>
    <x:row r="111">
      <x:c r="J111" s="168"/>
      <x:c r="M111" s="100"/>
    </x:row>
    <x:row r="112">
      <x:c r="J112" s="168"/>
      <x:c r="M112" s="100"/>
    </x:row>
    <x:row r="113">
      <x:c r="J113" s="168"/>
      <x:c r="M113" s="100"/>
    </x:row>
    <x:row r="114">
      <x:c r="J114" s="168"/>
      <x:c r="M114" s="100"/>
    </x:row>
    <x:row r="115">
      <x:c r="J115" s="168"/>
      <x:c r="M115" s="100"/>
    </x:row>
    <x:row r="116">
      <x:c r="J116" s="168"/>
      <x:c r="M116" s="100"/>
    </x:row>
    <x:row r="117">
      <x:c r="J117" s="168"/>
      <x:c r="M117" s="100"/>
    </x:row>
    <x:row r="118">
      <x:c r="J118" s="168"/>
      <x:c r="M118" s="100"/>
    </x:row>
    <x:row r="119">
      <x:c r="J119" s="168"/>
      <x:c r="M119" s="100"/>
    </x:row>
    <x:row r="120">
      <x:c r="J120" s="168"/>
      <x:c r="M120" s="100"/>
    </x:row>
    <x:row r="121">
      <x:c r="J121" s="168"/>
      <x:c r="M121" s="100"/>
    </x:row>
    <x:row r="122">
      <x:c r="J122" s="168"/>
      <x:c r="M122" s="100"/>
    </x:row>
    <x:row r="123">
      <x:c r="J123" s="168"/>
      <x:c r="M123" s="100"/>
    </x:row>
    <x:row r="124">
      <x:c r="J124" s="168"/>
      <x:c r="M124" s="100"/>
    </x:row>
    <x:row r="125">
      <x:c r="J125" s="168"/>
      <x:c r="M125" s="100"/>
    </x:row>
    <x:row r="126">
      <x:c r="J126" s="168"/>
      <x:c r="M126" s="100"/>
    </x:row>
    <x:row r="127">
      <x:c r="J127" s="168"/>
      <x:c r="M127" s="100"/>
    </x:row>
    <x:row r="128">
      <x:c r="J128" s="168"/>
      <x:c r="M128" s="100"/>
    </x:row>
    <x:row r="129">
      <x:c r="J129" s="168"/>
      <x:c r="M129" s="100"/>
    </x:row>
    <x:row r="130">
      <x:c r="J130" s="168"/>
      <x:c r="M130" s="100"/>
    </x:row>
    <x:row r="131">
      <x:c r="J131" s="168"/>
      <x:c r="M131" s="100"/>
    </x:row>
    <x:row r="132">
      <x:c r="J132" s="168"/>
      <x:c r="M132" s="100"/>
    </x:row>
    <x:row r="133">
      <x:c r="J133" s="168"/>
      <x:c r="M133" s="100"/>
    </x:row>
    <x:row r="134">
      <x:c r="J134" s="168"/>
      <x:c r="M134" s="100"/>
    </x:row>
    <x:row r="135">
      <x:c r="J135" s="168"/>
      <x:c r="M135" s="100"/>
    </x:row>
    <x:row r="136">
      <x:c r="J136" s="168"/>
      <x:c r="M136" s="100"/>
    </x:row>
    <x:row r="137">
      <x:c r="J137" s="168"/>
      <x:c r="M137" s="100"/>
    </x:row>
    <x:row r="138">
      <x:c r="J138" s="168"/>
      <x:c r="M138" s="100"/>
    </x:row>
    <x:row r="139">
      <x:c r="J139" s="168"/>
      <x:c r="M139" s="100"/>
    </x:row>
    <x:row r="140">
      <x:c r="J140" s="168"/>
      <x:c r="M140" s="100"/>
    </x:row>
    <x:row r="141">
      <x:c r="J141" s="168"/>
      <x:c r="M141" s="100"/>
    </x:row>
    <x:row r="142">
      <x:c r="J142" s="168"/>
      <x:c r="M142" s="100"/>
    </x:row>
    <x:row r="143">
      <x:c r="J143" s="168"/>
      <x:c r="M143" s="100"/>
    </x:row>
    <x:row r="144">
      <x:c r="J144" s="168"/>
      <x:c r="M144" s="100"/>
    </x:row>
    <x:row r="145">
      <x:c r="J145" s="168"/>
      <x:c r="M145" s="100"/>
    </x:row>
    <x:row r="146">
      <x:c r="J146" s="168"/>
      <x:c r="M146" s="100"/>
    </x:row>
    <x:row r="147">
      <x:c r="J147" s="168"/>
      <x:c r="M147" s="100"/>
    </x:row>
    <x:row r="148">
      <x:c r="J148" s="168"/>
      <x:c r="M148" s="100"/>
    </x:row>
    <x:row r="149">
      <x:c r="J149" s="168"/>
      <x:c r="M149" s="100"/>
    </x:row>
    <x:row r="150">
      <x:c r="J150" s="168"/>
      <x:c r="M150" s="100"/>
    </x:row>
    <x:row r="151">
      <x:c r="J151" s="168"/>
      <x:c r="M151" s="100"/>
    </x:row>
    <x:row r="152">
      <x:c r="J152" s="168"/>
      <x:c r="M152" s="100"/>
    </x:row>
    <x:row r="153">
      <x:c r="J153" s="168"/>
      <x:c r="M153" s="100"/>
    </x:row>
    <x:row r="154">
      <x:c r="J154" s="168"/>
      <x:c r="M154" s="100"/>
    </x:row>
    <x:row r="155">
      <x:c r="J155" s="168"/>
      <x:c r="M155" s="100"/>
    </x:row>
    <x:row r="156">
      <x:c r="J156" s="168"/>
      <x:c r="M156" s="100"/>
    </x:row>
    <x:row r="157">
      <x:c r="J157" s="168"/>
      <x:c r="M157" s="100"/>
    </x:row>
    <x:row r="158">
      <x:c r="J158" s="168"/>
      <x:c r="M158" s="100"/>
    </x:row>
    <x:row r="159">
      <x:c r="J159" s="168"/>
      <x:c r="M159" s="100"/>
    </x:row>
    <x:row r="160">
      <x:c r="J160" s="168"/>
      <x:c r="M160" s="100"/>
    </x:row>
    <x:row r="161">
      <x:c r="J161" s="168"/>
      <x:c r="M161" s="100"/>
    </x:row>
    <x:row r="162">
      <x:c r="J162" s="168"/>
      <x:c r="M162" s="100"/>
    </x:row>
    <x:row r="163">
      <x:c r="J163" s="168"/>
      <x:c r="M163" s="100"/>
    </x:row>
    <x:row r="164">
      <x:c r="J164" s="168"/>
      <x:c r="M164" s="100"/>
    </x:row>
    <x:row r="165">
      <x:c r="J165" s="168"/>
      <x:c r="M165" s="100"/>
    </x:row>
    <x:row r="166">
      <x:c r="J166" s="168"/>
      <x:c r="M166" s="100"/>
    </x:row>
    <x:row r="167">
      <x:c r="J167" s="168"/>
      <x:c r="M167" s="100"/>
    </x:row>
    <x:row r="168">
      <x:c r="J168" s="168"/>
      <x:c r="M168" s="100"/>
    </x:row>
    <x:row r="169">
      <x:c r="J169" s="168"/>
      <x:c r="M169" s="100"/>
    </x:row>
    <x:row r="170">
      <x:c r="J170" s="168"/>
      <x:c r="M170" s="100"/>
    </x:row>
    <x:row r="171">
      <x:c r="J171" s="168"/>
      <x:c r="M171" s="100"/>
    </x:row>
    <x:row r="172">
      <x:c r="J172" s="168"/>
      <x:c r="M172" s="100"/>
    </x:row>
    <x:row r="173">
      <x:c r="J173" s="168"/>
      <x:c r="M173" s="100"/>
    </x:row>
    <x:row r="174">
      <x:c r="J174" s="168"/>
      <x:c r="M174" s="100"/>
    </x:row>
    <x:row r="175">
      <x:c r="J175" s="168"/>
      <x:c r="M175" s="100"/>
    </x:row>
    <x:row r="176">
      <x:c r="J176" s="168"/>
      <x:c r="M176" s="100"/>
    </x:row>
    <x:row r="177">
      <x:c r="J177" s="168"/>
      <x:c r="M177" s="100"/>
    </x:row>
    <x:row r="178">
      <x:c r="J178" s="168"/>
      <x:c r="M178" s="100"/>
    </x:row>
    <x:row r="179">
      <x:c r="J179" s="168"/>
      <x:c r="M179" s="100"/>
    </x:row>
    <x:row r="180">
      <x:c r="J180" s="168"/>
      <x:c r="M180" s="100"/>
    </x:row>
    <x:row r="181">
      <x:c r="J181" s="168"/>
      <x:c r="M181" s="100"/>
    </x:row>
    <x:row r="182">
      <x:c r="J182" s="168"/>
      <x:c r="M182" s="100"/>
    </x:row>
    <x:row r="183">
      <x:c r="J183" s="168"/>
      <x:c r="M183" s="100"/>
    </x:row>
    <x:row r="184">
      <x:c r="J184" s="168"/>
      <x:c r="M184" s="100"/>
    </x:row>
    <x:row r="185">
      <x:c r="J185" s="168"/>
      <x:c r="M185" s="100"/>
    </x:row>
    <x:row r="186">
      <x:c r="J186" s="168"/>
      <x:c r="M186" s="100"/>
    </x:row>
    <x:row r="187">
      <x:c r="J187" s="168"/>
      <x:c r="M187" s="100"/>
    </x:row>
    <x:row r="188">
      <x:c r="J188" s="168"/>
      <x:c r="M188" s="100"/>
    </x:row>
    <x:row r="189">
      <x:c r="J189" s="168"/>
      <x:c r="M189" s="100"/>
    </x:row>
    <x:row r="190">
      <x:c r="J190" s="168"/>
      <x:c r="M190" s="100"/>
    </x:row>
    <x:row r="191">
      <x:c r="J191" s="168"/>
      <x:c r="M191" s="100"/>
    </x:row>
    <x:row r="192">
      <x:c r="J192" s="168"/>
      <x:c r="M192" s="100"/>
    </x:row>
    <x:row r="193">
      <x:c r="J193" s="168"/>
      <x:c r="M193" s="100"/>
    </x:row>
    <x:row r="194">
      <x:c r="J194" s="168"/>
      <x:c r="M194" s="100"/>
    </x:row>
    <x:row r="195">
      <x:c r="J195" s="168"/>
      <x:c r="M195" s="100"/>
    </x:row>
    <x:row r="196">
      <x:c r="J196" s="168"/>
      <x:c r="M196" s="100"/>
    </x:row>
    <x:row r="197">
      <x:c r="J197" s="168"/>
      <x:c r="M197" s="100"/>
    </x:row>
    <x:row r="198">
      <x:c r="J198" s="168"/>
      <x:c r="M198" s="100"/>
    </x:row>
    <x:row r="199">
      <x:c r="J199" s="168"/>
      <x:c r="M199" s="100"/>
    </x:row>
    <x:row r="200">
      <x:c r="J200" s="168"/>
      <x:c r="M200" s="100"/>
    </x:row>
  </x:sheetData>
  <x:mergeCells>
    <x:mergeCell ref="A1:N1"/>
    <x:mergeCell ref="A2:N2"/>
  </x:mergeCells>
  <x:dataValidations count="2">
    <x:dataValidation type="list" sqref="N5:N200">
      <x:formula1>"Yes,No"</x:formula1>
    </x:dataValidation>
    <x:dataValidation type="list" sqref="K5:K200">
      <x:formula1>"Branded,Unbranded,Lifecycle,Portfolio"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b3b3cb5bf2840c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6" style="11" customWidth="1"/>
    <x:col min="2" max="2" width="22" style="11" customWidth="1"/>
    <x:col min="3" max="3" width="40" style="11" customWidth="1"/>
    <x:col min="4" max="4" width="42" style="11" customWidth="1"/>
    <x:col min="5" max="5" width="55" style="11" customWidth="1"/>
    <x:col min="6" max="6" width="60" style="11" customWidth="1"/>
  </x:cols>
  <x:sheetData>
    <x:row r="1" s="12" customFormat="1" ht="15" customHeight="1">
      <x:c r="A1" s="19" t="inlineStr">
        <x:is>
          <x:t xml:space="preserve">CanvasID</x:t>
        </x:is>
      </x:c>
      <x:c r="B1" s="19" t="inlineStr">
        <x:is>
          <x:t xml:space="preserve">ProgramID</x:t>
        </x:is>
      </x:c>
      <x:c r="C1" s="19" t="inlineStr">
        <x:is>
          <x:t xml:space="preserve">CurrentBelief</x:t>
        </x:is>
      </x:c>
      <x:c r="D1" s="19" t="inlineStr">
        <x:is>
          <x:t xml:space="preserve">DesiredBelief</x:t>
        </x:is>
      </x:c>
      <x:c r="E1" s="19" t="inlineStr">
        <x:is>
          <x:t xml:space="preserve">StrategicGapSummary</x:t>
        </x:is>
      </x:c>
      <x:c r="F1" s="19" t="inlineStr">
        <x:is>
          <x:t xml:space="preserve">MRInputs</x:t>
        </x:is>
      </x:c>
    </x:row>
    <x:row r="2" s="12" customFormat="1" ht="41.75" customHeight="1">
      <x:c r="A2" s="16" t="inlineStr">
        <x:is>
          <x:t xml:space="preserve">CANVAS_HIV_LAI_01</x:t>
        </x:is>
      </x:c>
      <x:c r="B2" s="16" t="inlineStr">
        <x:is>
          <x:t xml:space="preserve">HIV_LAI_LAUNCH</x:t>
        </x:is>
      </x:c>
      <x:c r="C2" s="16" t="inlineStr">
        <x:is>
          <x:t xml:space="preserve">Oral regimens are more controllable and therefore safer to rely on.</x:t>
        </x:is>
      </x:c>
      <x:c r="D2" s="16" t="inlineStr">
        <x:is>
          <x:t xml:space="preserve">LAI therapy can be a clinically meaningful and practical option for appropriate patients.</x:t>
        </x:is>
      </x:c>
      <x:c r="E2" s="16" t="inlineStr">
        <x:is>
          <x:t xml:space="preserve">The strategic gap is moving HCPs from familiarity/control bias toward clinically and operationally informed consideration of LAI therapy.</x:t>
        </x:is>
      </x:c>
      <x:c r="F2" s="16" t="inlineStr">
        <x:is>
          <x:t xml:space="preserve">HCPs worry about loss of flexibility, missed injections, and narrow patient fit, but value adherence stability and reduced pill burden.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4" style="11" customWidth="1"/>
    <x:col min="2" max="2" width="80" style="11" customWidth="1"/>
  </x:cols>
  <x:sheetData>
    <x:row r="1" s="12" customFormat="1" ht="15" customHeight="1">
      <x:c r="A1" s="20" t="inlineStr">
        <x:is>
          <x:t xml:space="preserve">GapDimension</x:t>
        </x:is>
      </x:c>
      <x:c r="B1" s="20" t="inlineStr">
        <x:is>
          <x:t xml:space="preserve">Description</x:t>
        </x:is>
      </x:c>
    </x:row>
    <x:row r="2" s="12" customFormat="1" ht="15" customHeight="1">
      <x:c r="A2" s="16" t="inlineStr">
        <x:is>
          <x:t xml:space="preserve">Practice gap</x:t>
        </x:is>
      </x:c>
      <x:c r="B2" s="16" t="inlineStr">
        <x:is>
          <x:t xml:space="preserve">Difference between guideline ideals and actual real-world care behavior.</x:t>
        </x:is>
      </x:c>
    </x:row>
    <x:row r="3" s="12" customFormat="1" ht="15" customHeight="1">
      <x:c r="A3" s="16" t="inlineStr">
        <x:is>
          <x:t xml:space="preserve">Efficacy gap</x:t>
        </x:is>
      </x:c>
      <x:c r="B3" s="16" t="inlineStr">
        <x:is>
          <x:t xml:space="preserve">Difference between current expected outcomes and desired outcomes.</x:t>
        </x:is>
      </x:c>
    </x:row>
    <x:row r="4" s="12" customFormat="1" ht="15" customHeight="1">
      <x:c r="A4" s="16" t="inlineStr">
        <x:is>
          <x:t xml:space="preserve">Generalizability gap</x:t>
        </x:is>
      </x:c>
      <x:c r="B4" s="16" t="inlineStr">
        <x:is>
          <x:t xml:space="preserve">Belief that benefit applies only to a narrow patient subset.</x:t>
        </x:is>
      </x:c>
    </x:row>
    <x:row r="5" s="12" customFormat="1" ht="15" customHeight="1">
      <x:c r="A5" s="16" t="inlineStr">
        <x:is>
          <x:t xml:space="preserve">Implementation gap</x:t>
        </x:is>
      </x:c>
      <x:c r="B5" s="16" t="inlineStr">
        <x:is>
          <x:t xml:space="preserve">Operational concerns that block clinical adoption.</x:t>
        </x:is>
      </x:c>
    </x:row>
    <x:row r="6" s="12" customFormat="1" ht="15" customHeight="1">
      <x:c r="A6" s="16" t="inlineStr">
        <x:is>
          <x:t xml:space="preserve">Mechanism gap</x:t>
        </x:is>
      </x:c>
      <x:c r="B6" s="16" t="inlineStr">
        <x:is>
          <x:t xml:space="preserve">Lack of understanding of why the intervention matters biologically.</x:t>
        </x:is>
      </x:c>
    </x:row>
    <x:row r="7" s="12" customFormat="1" ht="15" customHeight="1">
      <x:c r="A7" s="16" t="inlineStr">
        <x:is>
          <x:t xml:space="preserve">Evidence trust gap</x:t>
        </x:is>
      </x:c>
      <x:c r="B7" s="16" t="inlineStr">
        <x:is>
          <x:t xml:space="preserve">Skepticism about the quality or interpretability of evidence.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8" style="11" customWidth="1"/>
    <x:col min="2" max="2" width="80" style="11" customWidth="1"/>
  </x:cols>
  <x:sheetData>
    <x:row r="1" s="12" customFormat="1" ht="15" customHeight="1">
      <x:c r="A1" s="20" t="inlineStr">
        <x:is>
          <x:t xml:space="preserve">SubBeliefType</x:t>
        </x:is>
      </x:c>
      <x:c r="B1" s="20" t="inlineStr">
        <x:is>
          <x:t xml:space="preserve">Description</x:t>
        </x:is>
      </x:c>
    </x:row>
    <x:row r="2" s="12" customFormat="1" ht="15" customHeight="1">
      <x:c r="A2" s="16" t="inlineStr">
        <x:is>
          <x:t xml:space="preserve">Standard-of-care limitation</x:t>
        </x:is>
      </x:c>
      <x:c r="B2" s="16" t="inlineStr">
        <x:is>
          <x:t xml:space="preserve">Shows limits of the current standard approach.</x:t>
        </x:is>
      </x:c>
    </x:row>
    <x:row r="3" s="12" customFormat="1" ht="15" customHeight="1">
      <x:c r="A3" s="16" t="inlineStr">
        <x:is>
          <x:t xml:space="preserve">Clinical efficacy</x:t>
        </x:is>
      </x:c>
      <x:c r="B3" s="16" t="inlineStr">
        <x:is>
          <x:t xml:space="preserve">Demonstrates treatment benefit.</x:t>
        </x:is>
      </x:c>
    </x:row>
    <x:row r="4" s="12" customFormat="1" ht="15" customHeight="1">
      <x:c r="A4" s="16" t="inlineStr">
        <x:is>
          <x:t xml:space="preserve">Generalizability</x:t>
        </x:is>
      </x:c>
      <x:c r="B4" s="16" t="inlineStr">
        <x:is>
          <x:t xml:space="preserve">Shows relevance across patient profiles or settings.</x:t>
        </x:is>
      </x:c>
    </x:row>
    <x:row r="5" s="12" customFormat="1" ht="15" customHeight="1">
      <x:c r="A5" s="16" t="inlineStr">
        <x:is>
          <x:t xml:space="preserve">Treatment expectation reset</x:t>
        </x:is>
      </x:c>
      <x:c r="B5" s="16" t="inlineStr">
        <x:is>
          <x:t xml:space="preserve">Resets what clinicians should expect from therapy.</x:t>
        </x:is>
      </x:c>
    </x:row>
    <x:row r="6" s="12" customFormat="1" ht="15" customHeight="1">
      <x:c r="A6" s="16" t="inlineStr">
        <x:is>
          <x:t xml:space="preserve">Implementation practicality</x:t>
        </x:is>
      </x:c>
      <x:c r="B6" s="16" t="inlineStr">
        <x:is>
          <x:t xml:space="preserve">Addresses operational feasibility in practice.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8" style="11" customWidth="1"/>
    <x:col min="2" max="2" width="80" style="11" customWidth="1"/>
  </x:cols>
  <x:sheetData>
    <x:row r="1" s="12" customFormat="1" ht="15" customHeight="1">
      <x:c r="A1" s="20" t="inlineStr">
        <x:is>
          <x:t xml:space="preserve">StatementType</x:t>
        </x:is>
      </x:c>
      <x:c r="B1" s="20" t="inlineStr">
        <x:is>
          <x:t xml:space="preserve">Description</x:t>
        </x:is>
      </x:c>
    </x:row>
    <x:row r="2" s="12" customFormat="1" ht="15" customHeight="1">
      <x:c r="A2" s="16" t="inlineStr">
        <x:is>
          <x:t xml:space="preserve">Core support</x:t>
        </x:is>
      </x:c>
      <x:c r="B2" s="16" t="inlineStr">
        <x:is>
          <x:t xml:space="preserve">Direct support for the sub-belief.</x:t>
        </x:is>
      </x:c>
    </x:row>
    <x:row r="3" s="12" customFormat="1" ht="15" customHeight="1">
      <x:c r="A3" s="16" t="inlineStr">
        <x:is>
          <x:t xml:space="preserve">Mechanistic support</x:t>
        </x:is>
      </x:c>
      <x:c r="B3" s="16" t="inlineStr">
        <x:is>
          <x:t xml:space="preserve">Explains the biological or clinical rationale.</x:t>
        </x:is>
      </x:c>
    </x:row>
    <x:row r="4" s="12" customFormat="1" ht="15" customHeight="1">
      <x:c r="A4" s="16" t="inlineStr">
        <x:is>
          <x:t xml:space="preserve">Generalizability support</x:t>
        </x:is>
      </x:c>
      <x:c r="B4" s="16" t="inlineStr">
        <x:is>
          <x:t xml:space="preserve">Explains applicability beyond a narrow subgroup.</x:t>
        </x:is>
      </x:c>
    </x:row>
    <x:row r="5" s="12" customFormat="1" ht="15" customHeight="1">
      <x:c r="A5" s="16" t="inlineStr">
        <x:is>
          <x:t xml:space="preserve">Practice implication support</x:t>
        </x:is>
      </x:c>
      <x:c r="B5" s="16" t="inlineStr">
        <x:is>
          <x:t xml:space="preserve">Explains real-world practice relevance.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2" style="11" customWidth="1"/>
    <x:col min="2" max="2" width="14" style="11" customWidth="1"/>
    <x:col min="3" max="3" width="16" style="11" customWidth="1"/>
    <x:col min="4" max="4" width="22" style="11" customWidth="1"/>
    <x:col min="5" max="5" width="32" style="11" customWidth="1"/>
    <x:col min="6" max="6" width="60" style="11" customWidth="1"/>
  </x:cols>
  <x:sheetData>
    <x:row r="1" s="12" customFormat="1" ht="28.350000381469727" customHeight="1">
      <x:c r="A1" s="20" t="inlineStr">
        <x:is>
          <x:t xml:space="preserve">ClaimType</x:t>
        </x:is>
      </x:c>
      <x:c r="B1" s="20" t="inlineStr">
        <x:is>
          <x:t xml:space="preserve">MinimumTier</x:t>
        </x:is>
      </x:c>
      <x:c r="C1" s="20" t="inlineStr">
        <x:is>
          <x:t xml:space="preserve">MinimumSources</x:t>
        </x:is>
      </x:c>
      <x:c r="D1" s="20" t="inlineStr">
        <x:is>
          <x:t xml:space="preserve">DirectEvidenceRequired</x:t>
        </x:is>
      </x:c>
      <x:c r="E1" s="20" t="inlineStr">
        <x:is>
          <x:t xml:space="preserve">AllowedStudyTypes</x:t>
        </x:is>
      </x:c>
      <x:c r="F1" s="20" t="inlineStr">
        <x:is>
          <x:t xml:space="preserve">Notes</x:t>
        </x:is>
      </x:c>
    </x:row>
    <x:row r="2" s="12" customFormat="1" ht="15" customHeight="1">
      <x:c r="A2" s="16" t="inlineStr">
        <x:is>
          <x:t xml:space="preserve">Clinical efficacy</x:t>
        </x:is>
      </x:c>
      <x:c r="B2" s="16" t="inlineStr">
        <x:is>
          <x:t xml:space="preserve">A</x:t>
        </x:is>
      </x:c>
      <x:c r="C2" s="16" t="n">
        <x:v>2</x:v>
      </x:c>
      <x:c r="D2" s="16" t="inlineStr">
        <x:is>
          <x:t xml:space="preserve">Yes</x:t>
        </x:is>
      </x:c>
      <x:c r="E2" s="16" t="inlineStr">
        <x:is>
          <x:t xml:space="preserve">RCT; prospective cohort</x:t>
        </x:is>
      </x:c>
      <x:c r="F2" s="16" t="inlineStr">
        <x:is>
          <x:t xml:space="preserve">Core efficacy claims require high-grade direct evidence.</x:t>
        </x:is>
      </x:c>
    </x:row>
    <x:row r="3" s="12" customFormat="1" ht="28.350000381469727" customHeight="1">
      <x:c r="A3" s="16" t="inlineStr">
        <x:is>
          <x:t xml:space="preserve">Mechanism</x:t>
        </x:is>
      </x:c>
      <x:c r="B3" s="16" t="inlineStr">
        <x:is>
          <x:t xml:space="preserve">B</x:t>
        </x:is>
      </x:c>
      <x:c r="C3" s="16" t="n">
        <x:v>1</x:v>
      </x:c>
      <x:c r="D3" s="16" t="inlineStr">
        <x:is>
          <x:t xml:space="preserve">Preferred</x:t>
        </x:is>
      </x:c>
      <x:c r="E3" s="16" t="inlineStr">
        <x:is>
          <x:t xml:space="preserve">Mechanistic study; supportive clinical study</x:t>
        </x:is>
      </x:c>
      <x:c r="F3" s="16" t="inlineStr">
        <x:is>
          <x:t xml:space="preserve">Mechanistic claims can use lower-tier support if clearly labeled.</x:t>
        </x:is>
      </x:c>
    </x:row>
    <x:row r="4" s="12" customFormat="1" ht="28.350000381469727" customHeight="1">
      <x:c r="A4" s="16" t="inlineStr">
        <x:is>
          <x:t xml:space="preserve">Generalizability</x:t>
        </x:is>
      </x:c>
      <x:c r="B4" s="16" t="inlineStr">
        <x:is>
          <x:t xml:space="preserve">B</x:t>
        </x:is>
      </x:c>
      <x:c r="C4" s="16" t="n">
        <x:v>2</x:v>
      </x:c>
      <x:c r="D4" s="16" t="inlineStr">
        <x:is>
          <x:t xml:space="preserve">No</x:t>
        </x:is>
      </x:c>
      <x:c r="E4" s="16" t="inlineStr">
        <x:is>
          <x:t xml:space="preserve">RCT subgroup; cohort; real-world evidence</x:t>
        </x:is>
      </x:c>
      <x:c r="F4" s="16" t="inlineStr">
        <x:is>
          <x:t xml:space="preserve">Needs at least two sources showing applicability.</x:t>
        </x:is>
      </x:c>
    </x:row>
    <x:row r="5" s="12" customFormat="1" ht="28.350000381469727" customHeight="1">
      <x:c r="A5" s="16" t="inlineStr">
        <x:is>
          <x:t xml:space="preserve">Practice pattern</x:t>
        </x:is>
      </x:c>
      <x:c r="B5" s="16" t="inlineStr">
        <x:is>
          <x:t xml:space="preserve">B</x:t>
        </x:is>
      </x:c>
      <x:c r="C5" s="16" t="n">
        <x:v>1</x:v>
      </x:c>
      <x:c r="D5" s="16" t="inlineStr">
        <x:is>
          <x:t xml:space="preserve">No</x:t>
        </x:is>
      </x:c>
      <x:c r="E5" s="16" t="inlineStr">
        <x:is>
          <x:t xml:space="preserve">Registry; real-world evidence; guideline</x:t>
        </x:is>
      </x:c>
      <x:c r="F5" s="16" t="inlineStr">
        <x:is>
          <x:t xml:space="preserve">Operational/practice claims can rely on real-world or guideline evidence.</x:t>
        </x:is>
      </x:c>
    </x:row>
    <x:row r="6" s="12" customFormat="1" ht="15" customHeight="1">
      <x:c r="A6" s="16" t="inlineStr">
        <x:is>
          <x:t xml:space="preserve">Safety</x:t>
        </x:is>
      </x:c>
      <x:c r="B6" s="16" t="inlineStr">
        <x:is>
          <x:t xml:space="preserve">A</x:t>
        </x:is>
      </x:c>
      <x:c r="C6" s="16" t="n">
        <x:v>2</x:v>
      </x:c>
      <x:c r="D6" s="16" t="inlineStr">
        <x:is>
          <x:t xml:space="preserve">Yes</x:t>
        </x:is>
      </x:c>
      <x:c r="E6" s="16" t="inlineStr">
        <x:is>
          <x:t xml:space="preserve">RCT; pooled safety analysis</x:t>
        </x:is>
      </x:c>
      <x:c r="F6" s="16" t="inlineStr">
        <x:is>
          <x:t xml:space="preserve">Safety claims require direct clinical evidence.</x:t>
        </x:is>
      </x:c>
    </x:row>
  </x:sheetData>
  <x:pageMargins left="0.7" right="0.7" top="0.75" bottom="0.75" header="0.3" footer="0.3"/>
  <x:legacyDrawing xmlns:r="http://schemas.openxmlformats.org/officeDocument/2006/relationships" r:id="Rba5e8707ad5c4ce1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2" style="11" customWidth="1"/>
    <x:col min="2" max="2" width="80" style="11" customWidth="1"/>
    <x:col min="3" max="3" width="14" style="11" customWidth="1"/>
  </x:cols>
  <x:sheetData>
    <x:row r="1" s="12" customFormat="1" ht="28.350000381469727" customHeight="1">
      <x:c r="A1" s="20" t="inlineStr">
        <x:is>
          <x:t xml:space="preserve">SectionType</x:t>
        </x:is>
      </x:c>
      <x:c r="B1" s="20" t="inlineStr">
        <x:is>
          <x:t xml:space="preserve">Description</x:t>
        </x:is>
      </x:c>
      <x:c r="C1" s="20" t="inlineStr">
        <x:is>
          <x:t xml:space="preserve">PriorityWeight</x:t>
        </x:is>
      </x:c>
    </x:row>
    <x:row r="2" s="12" customFormat="1" ht="15" customHeight="1">
      <x:c r="A2" s="16" t="inlineStr">
        <x:is>
          <x:t xml:space="preserve">Abstract</x:t>
        </x:is>
      </x:c>
      <x:c r="B2" s="16" t="inlineStr">
        <x:is>
          <x:t xml:space="preserve">High-level summary; useful for initial screening.</x:t>
        </x:is>
      </x:c>
      <x:c r="C2" s="16" t="n">
        <x:v>4</x:v>
      </x:c>
    </x:row>
    <x:row r="3" s="12" customFormat="1" ht="15" customHeight="1">
      <x:c r="A3" s="16" t="inlineStr">
        <x:is>
          <x:t xml:space="preserve">Results</x:t>
        </x:is>
      </x:c>
      <x:c r="B3" s="16" t="inlineStr">
        <x:is>
          <x:t xml:space="preserve">Primary source for efficacy and endpoint statements.</x:t>
        </x:is>
      </x:c>
      <x:c r="C3" s="16" t="n">
        <x:v>5</x:v>
      </x:c>
    </x:row>
    <x:row r="4" s="12" customFormat="1" ht="15" customHeight="1">
      <x:c r="A4" s="16" t="inlineStr">
        <x:is>
          <x:t xml:space="preserve">Discussion</x:t>
        </x:is>
      </x:c>
      <x:c r="B4" s="16" t="inlineStr">
        <x:is>
          <x:t xml:space="preserve">Contextual interpretation; lower than results for direct support.</x:t>
        </x:is>
      </x:c>
      <x:c r="C4" s="16" t="n">
        <x:v>2</x:v>
      </x:c>
    </x:row>
    <x:row r="5" s="12" customFormat="1" ht="15" customHeight="1">
      <x:c r="A5" s="16" t="inlineStr">
        <x:is>
          <x:t xml:space="preserve">Conclusion</x:t>
        </x:is>
      </x:c>
      <x:c r="B5" s="16" t="inlineStr">
        <x:is>
          <x:t xml:space="preserve">Summary of author conclusions; moderate weight.</x:t>
        </x:is>
      </x:c>
      <x:c r="C5" s="16" t="n">
        <x:v>3</x:v>
      </x:c>
    </x:row>
    <x:row r="6" s="12" customFormat="1" ht="15" customHeight="1">
      <x:c r="A6" s="16" t="inlineStr">
        <x:is>
          <x:t xml:space="preserve">Methods</x:t>
        </x:is>
      </x:c>
      <x:c r="B6" s="16" t="inlineStr">
        <x:is>
          <x:t xml:space="preserve">Useful for design interpretation, not direct efficacy support.</x:t>
        </x:is>
      </x:c>
      <x:c r="C6" s="16" t="n">
        <x:v>1</x:v>
      </x:c>
    </x:row>
    <x:row r="7" s="12" customFormat="1" ht="28.350000381469727" customHeight="1">
      <x:c r="A7" s="16" t="inlineStr">
        <x:is>
          <x:t xml:space="preserve">Guideline recommendation</x:t>
        </x:is>
      </x:c>
      <x:c r="B7" s="16" t="inlineStr">
        <x:is>
          <x:t xml:space="preserve">Authoritative recommendation section.</x:t>
        </x:is>
      </x:c>
      <x:c r="C7" s="16" t="n">
        <x:v>5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2" style="11" customWidth="1"/>
    <x:col min="2" max="2" width="14" style="11" customWidth="1"/>
    <x:col min="3" max="3" width="80" style="11" customWidth="1"/>
  </x:cols>
  <x:sheetData>
    <x:row r="1" s="12" customFormat="1" ht="15" customHeight="1">
      <x:c r="A1" s="20" t="inlineStr">
        <x:is>
          <x:t xml:space="preserve">DirectnessEstimate</x:t>
        </x:is>
      </x:c>
      <x:c r="B1" s="20" t="inlineStr">
        <x:is>
          <x:t xml:space="preserve">NumericScore</x:t>
        </x:is>
      </x:c>
      <x:c r="C1" s="20" t="inlineStr">
        <x:is>
          <x:t xml:space="preserve">Definition</x:t>
        </x:is>
      </x:c>
    </x:row>
    <x:row r="2" s="12" customFormat="1" ht="15" customHeight="1">
      <x:c r="A2" s="16" t="inlineStr">
        <x:is>
          <x:t xml:space="preserve">Direct support</x:t>
        </x:is>
      </x:c>
      <x:c r="B2" s="16" t="n">
        <x:v>5</x:v>
      </x:c>
      <x:c r="C2" s="16" t="inlineStr">
        <x:is>
          <x:t xml:space="preserve">Quote directly supports the statement in target population/intervention/endpoint.</x:t>
        </x:is>
      </x:c>
    </x:row>
    <x:row r="3" s="12" customFormat="1" ht="15" customHeight="1">
      <x:c r="A3" s="16" t="inlineStr">
        <x:is>
          <x:t xml:space="preserve">Partial support</x:t>
        </x:is>
      </x:c>
      <x:c r="B3" s="16" t="n">
        <x:v>3</x:v>
      </x:c>
      <x:c r="C3" s="16" t="inlineStr">
        <x:is>
          <x:t xml:space="preserve">Quote supports only part of the statement or misses one key target.</x:t>
        </x:is>
      </x:c>
    </x:row>
    <x:row r="4" s="12" customFormat="1" ht="15" customHeight="1">
      <x:c r="A4" s="16" t="inlineStr">
        <x:is>
          <x:t xml:space="preserve">Contextual support</x:t>
        </x:is>
      </x:c>
      <x:c r="B4" s="16" t="n">
        <x:v>2</x:v>
      </x:c>
      <x:c r="C4" s="16" t="inlineStr">
        <x:is>
          <x:t xml:space="preserve">Quote provides context but not direct confirmation.</x:t>
        </x:is>
      </x:c>
    </x:row>
    <x:row r="5" s="12" customFormat="1" ht="15" customHeight="1">
      <x:c r="A5" s="16" t="inlineStr">
        <x:is>
          <x:t xml:space="preserve">Contradictory</x:t>
        </x:is>
      </x:c>
      <x:c r="B5" s="16" t="n">
        <x:v>0</x:v>
      </x:c>
      <x:c r="C5" s="16" t="inlineStr">
        <x:is>
          <x:t xml:space="preserve">Quote undermines or contradicts the statement.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8" style="11" customWidth="1"/>
    <x:col min="2" max="2" width="80" style="11" customWidth="1"/>
  </x:cols>
  <x:sheetData>
    <x:row r="1" s="12" customFormat="1" ht="15" customHeight="1">
      <x:c r="A1" s="20" t="inlineStr">
        <x:is>
          <x:t xml:space="preserve">Term</x:t>
        </x:is>
      </x:c>
      <x:c r="B1" s="20" t="inlineStr">
        <x:is>
          <x:t xml:space="preserve">FlagMeaning</x:t>
        </x:is>
      </x:c>
    </x:row>
    <x:row r="2" s="12" customFormat="1" ht="15" customHeight="1">
      <x:c r="A2" s="16" t="inlineStr">
        <x:is>
          <x:t xml:space="preserve">may</x:t>
        </x:is>
      </x:c>
      <x:c r="B2" s="16" t="inlineStr">
        <x:is>
          <x:t xml:space="preserve">Presence should trigger HedgingLanguageFlag unless manually overridden.</x:t>
        </x:is>
      </x:c>
    </x:row>
    <x:row r="3" s="12" customFormat="1" ht="15" customHeight="1">
      <x:c r="A3" s="16" t="inlineStr">
        <x:is>
          <x:t xml:space="preserve">might</x:t>
        </x:is>
      </x:c>
      <x:c r="B3" s="16" t="inlineStr">
        <x:is>
          <x:t xml:space="preserve">Presence should trigger HedgingLanguageFlag unless manually overridden.</x:t>
        </x:is>
      </x:c>
    </x:row>
    <x:row r="4" s="12" customFormat="1" ht="15" customHeight="1">
      <x:c r="A4" s="16" t="inlineStr">
        <x:is>
          <x:t xml:space="preserve">suggest</x:t>
        </x:is>
      </x:c>
      <x:c r="B4" s="16" t="inlineStr">
        <x:is>
          <x:t xml:space="preserve">Presence should trigger HedgingLanguageFlag unless manually overridden.</x:t>
        </x:is>
      </x:c>
    </x:row>
    <x:row r="5" s="12" customFormat="1" ht="15" customHeight="1">
      <x:c r="A5" s="16" t="inlineStr">
        <x:is>
          <x:t xml:space="preserve">possible</x:t>
        </x:is>
      </x:c>
      <x:c r="B5" s="16" t="inlineStr">
        <x:is>
          <x:t xml:space="preserve">Presence should trigger HedgingLanguageFlag unless manually overridden.</x:t>
        </x:is>
      </x:c>
    </x:row>
    <x:row r="6" s="12" customFormat="1" ht="15" customHeight="1">
      <x:c r="A6" s="16" t="inlineStr">
        <x:is>
          <x:t xml:space="preserve">possibly</x:t>
        </x:is>
      </x:c>
      <x:c r="B6" s="16" t="inlineStr">
        <x:is>
          <x:t xml:space="preserve">Presence should trigger HedgingLanguageFlag unless manually overridden.</x:t>
        </x:is>
      </x:c>
    </x:row>
    <x:row r="7" s="12" customFormat="1" ht="15" customHeight="1">
      <x:c r="A7" s="16" t="inlineStr">
        <x:is>
          <x:t xml:space="preserve">trend</x:t>
        </x:is>
      </x:c>
      <x:c r="B7" s="16" t="inlineStr">
        <x:is>
          <x:t xml:space="preserve">Presence should trigger HedgingLanguageFlag unless manually overridden.</x:t>
        </x:is>
      </x:c>
    </x:row>
    <x:row r="8" s="12" customFormat="1" ht="15" customHeight="1">
      <x:c r="A8" s="16" t="inlineStr">
        <x:is>
          <x:t xml:space="preserve">trend toward</x:t>
        </x:is>
      </x:c>
      <x:c r="B8" s="16" t="inlineStr">
        <x:is>
          <x:t xml:space="preserve">Presence should trigger HedgingLanguageFlag unless manually overridden.</x:t>
        </x:is>
      </x:c>
    </x:row>
    <x:row r="9" s="12" customFormat="1" ht="15" customHeight="1">
      <x:c r="A9" s="16" t="inlineStr">
        <x:is>
          <x:t xml:space="preserve">could</x:t>
        </x:is>
      </x:c>
      <x:c r="B9" s="16" t="inlineStr">
        <x:is>
          <x:t xml:space="preserve">Presence should trigger HedgingLanguageFlag unless manually overridden.</x:t>
        </x:is>
      </x:c>
    </x:row>
    <x:row r="10" s="12" customFormat="1" ht="15" customHeight="1">
      <x:c r="A10" s="16" t="inlineStr">
        <x:is>
          <x:t xml:space="preserve">appeared to</x:t>
        </x:is>
      </x:c>
      <x:c r="B10" s="16" t="inlineStr">
        <x:is>
          <x:t xml:space="preserve">Presence should trigger HedgingLanguageFlag unless manually overridden.</x:t>
        </x:is>
      </x:c>
    </x:row>
    <x:row r="11" s="12" customFormat="1" ht="15" customHeight="1">
      <x:c r="A11" s="16" t="inlineStr">
        <x:is>
          <x:t xml:space="preserve">numerically</x:t>
        </x:is>
      </x:c>
      <x:c r="B11" s="16" t="inlineStr">
        <x:is>
          <x:t xml:space="preserve">Presence should trigger HedgingLanguageFlag unless manually overridden.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2" style="11" customWidth="1"/>
    <x:col min="2" max="2" width="72" style="11" customWidth="1"/>
    <x:col min="3" max="4" width="24" style="11" customWidth="1"/>
  </x:cols>
  <x:sheetData>
    <x:row r="1" s="12" customFormat="1" ht="15" customHeight="1">
      <x:c r="A1" s="20" t="inlineStr">
        <x:is>
          <x:t xml:space="preserve">RuleID</x:t>
        </x:is>
      </x:c>
      <x:c r="B1" s="20" t="inlineStr">
        <x:is>
          <x:t xml:space="preserve">RuleDescription</x:t>
        </x:is>
      </x:c>
      <x:c r="C1" s="20" t="inlineStr">
        <x:is>
          <x:t xml:space="preserve">AppliesTo</x:t>
        </x:is>
      </x:c>
      <x:c r="D1" s="20" t="inlineStr">
        <x:is>
          <x:t xml:space="preserve">Action</x:t>
        </x:is>
      </x:c>
    </x:row>
    <x:row r="2" s="12" customFormat="1" ht="15" customHeight="1">
      <x:c r="A2" s="16" t="inlineStr">
        <x:is>
          <x:t xml:space="preserve">RR1</x:t>
        </x:is>
      </x:c>
      <x:c r="B2" s="16" t="inlineStr">
        <x:is>
          <x:t xml:space="preserve">Reject if page number is missing.</x:t>
        </x:is>
      </x:c>
      <x:c r="C2" s="16" t="inlineStr">
        <x:is>
          <x:t xml:space="preserve">Candidate_Evidence</x:t>
        </x:is>
      </x:c>
      <x:c r="D2" s="16" t="inlineStr">
        <x:is>
          <x:t xml:space="preserve">Reject</x:t>
        </x:is>
      </x:c>
    </x:row>
    <x:row r="3" s="12" customFormat="1" ht="15" customHeight="1">
      <x:c r="A3" s="16" t="inlineStr">
        <x:is>
          <x:t xml:space="preserve">RR2</x:t>
        </x:is>
      </x:c>
      <x:c r="B3" s="16" t="inlineStr">
        <x:is>
          <x:t xml:space="preserve">Reject if quote is not verbatim source text.</x:t>
        </x:is>
      </x:c>
      <x:c r="C3" s="16" t="inlineStr">
        <x:is>
          <x:t xml:space="preserve">Candidate_Evidence</x:t>
        </x:is>
      </x:c>
      <x:c r="D3" s="16" t="inlineStr">
        <x:is>
          <x:t xml:space="preserve">Reject</x:t>
        </x:is>
      </x:c>
    </x:row>
    <x:row r="4" s="12" customFormat="1" ht="15" customHeight="1">
      <x:c r="A4" s="16" t="inlineStr">
        <x:is>
          <x:t xml:space="preserve">RR3</x:t>
        </x:is>
      </x:c>
      <x:c r="B4" s="16" t="inlineStr">
        <x:is>
          <x:t xml:space="preserve">Reject if MatchScore is below MinimumMatchScore from Extraction_Contract.</x:t>
        </x:is>
      </x:c>
      <x:c r="C4" s="16" t="inlineStr">
        <x:is>
          <x:t xml:space="preserve">Candidate_Evidence</x:t>
        </x:is>
      </x:c>
      <x:c r="D4" s="16" t="inlineStr">
        <x:is>
          <x:t xml:space="preserve">Reject</x:t>
        </x:is>
      </x:c>
    </x:row>
    <x:row r="5" s="12" customFormat="1" ht="15" customHeight="1">
      <x:c r="A5" s="16" t="inlineStr">
        <x:is>
          <x:t xml:space="preserve">RR4</x:t>
        </x:is>
      </x:c>
      <x:c r="B5" s="16" t="inlineStr">
        <x:is>
          <x:t xml:space="preserve">Reject if source section is only Methods for a core efficacy claim.</x:t>
        </x:is>
      </x:c>
      <x:c r="C5" s="16" t="inlineStr">
        <x:is>
          <x:t xml:space="preserve">Candidate_Evidence</x:t>
        </x:is>
      </x:c>
      <x:c r="D5" s="16" t="inlineStr">
        <x:is>
          <x:t xml:space="preserve">Reject or manual review</x:t>
        </x:is>
      </x:c>
    </x:row>
    <x:row r="6" s="12" customFormat="1" ht="15" customHeight="1">
      <x:c r="A6" s="16" t="inlineStr">
        <x:is>
          <x:t xml:space="preserve">RR5</x:t>
        </x:is>
      </x:c>
      <x:c r="B6" s="16" t="inlineStr">
        <x:is>
          <x:t xml:space="preserve">Reject if severe population mismatch is present.</x:t>
        </x:is>
      </x:c>
      <x:c r="C6" s="16" t="inlineStr">
        <x:is>
          <x:t xml:space="preserve">Candidate_Evidence</x:t>
        </x:is>
      </x:c>
      <x:c r="D6" s="16" t="inlineStr">
        <x:is>
          <x:t xml:space="preserve">Reject</x:t>
        </x:is>
      </x:c>
    </x:row>
    <x:row r="7" s="12" customFormat="1" ht="15" customHeight="1">
      <x:c r="A7" s="16" t="inlineStr">
        <x:is>
          <x:t xml:space="preserve">RR6</x:t>
        </x:is>
      </x:c>
      <x:c r="B7" s="16" t="inlineStr">
        <x:is>
          <x:t xml:space="preserve">Reject if quote comes from title/reference list only.</x:t>
        </x:is>
      </x:c>
      <x:c r="C7" s="16" t="inlineStr">
        <x:is>
          <x:t xml:space="preserve">Candidate_Evidence</x:t>
        </x:is>
      </x:c>
      <x:c r="D7" s="16" t="inlineStr">
        <x:is>
          <x:t xml:space="preserve">Reject</x:t>
        </x:is>
      </x:c>
    </x:row>
    <x:row r="8" s="12" customFormat="1" ht="15" customHeight="1">
      <x:c r="A8" s="16" t="inlineStr">
        <x:is>
          <x:t xml:space="preserve">RR7</x:t>
        </x:is>
      </x:c>
      <x:c r="B8" s="16" t="inlineStr">
        <x:is>
          <x:t xml:space="preserve">Reject if parse integrity is low or corrupted text is detected.</x:t>
        </x:is>
      </x:c>
      <x:c r="C8" s="16" t="inlineStr">
        <x:is>
          <x:t xml:space="preserve">Candidate_Evidence</x:t>
        </x:is>
      </x:c>
      <x:c r="D8" s="16" t="inlineStr">
        <x:is>
          <x:t xml:space="preserve">Reject</x:t>
        </x:is>
      </x:c>
    </x:row>
    <x:row r="9" s="12" customFormat="1" ht="15" customHeight="1">
      <x:c r="A9" s="16" t="inlineStr">
        <x:is>
          <x:t xml:space="preserve">RR8</x:t>
        </x:is>
      </x:c>
      <x:c r="B9" s="16" t="inlineStr">
        <x:is>
          <x:t xml:space="preserve">Route to review if hedging language is present in otherwise relevant quote.</x:t>
        </x:is>
      </x:c>
      <x:c r="C9" s="16" t="inlineStr">
        <x:is>
          <x:t xml:space="preserve">Candidate_Evidence</x:t>
        </x:is>
      </x:c>
      <x:c r="D9" s="16" t="inlineStr">
        <x:is>
          <x:t xml:space="preserve">Needs review</x:t>
        </x:is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2" style="11" customWidth="1"/>
    <x:col min="2" max="2" width="70" style="11" customWidth="1"/>
    <x:col min="3" max="3" width="14" style="11" customWidth="1"/>
    <x:col min="4" max="4" width="60" style="11" customWidth="1"/>
  </x:cols>
  <x:sheetData>
    <x:row r="1" s="12" customFormat="1" ht="15" customHeight="1">
      <x:c r="A1" s="20" t="inlineStr">
        <x:is>
          <x:t xml:space="preserve">RuleID</x:t>
        </x:is>
      </x:c>
      <x:c r="B1" s="20" t="inlineStr">
        <x:is>
          <x:t xml:space="preserve">Condition</x:t>
        </x:is>
      </x:c>
      <x:c r="C1" s="20" t="inlineStr">
        <x:is>
          <x:t xml:space="preserve">ScoreImpact</x:t>
        </x:is>
      </x:c>
      <x:c r="D1" s="20" t="inlineStr">
        <x:is>
          <x:t xml:space="preserve">Notes</x:t>
        </x:is>
      </x:c>
    </x:row>
    <x:row r="2" s="12" customFormat="1" ht="15" customHeight="1">
      <x:c r="A2" s="16" t="inlineStr">
        <x:is>
          <x:t xml:space="preserve">MS1</x:t>
        </x:is>
      </x:c>
      <x:c r="B2" s="16" t="inlineStr">
        <x:is>
          <x:t xml:space="preserve">All MustIncludeTerms present</x:t>
        </x:is>
      </x:c>
      <x:c r="C2" s="16" t="inlineStr">
        <x:is>
          <x:t xml:space="preserve">+40</x:t>
        </x:is>
      </x:c>
      <x:c r="D2" s="16" t="inlineStr">
        <x:is>
          <x:t xml:space="preserve">Strong lexical alignment.</x:t>
        </x:is>
      </x:c>
    </x:row>
    <x:row r="3" s="12" customFormat="1" ht="15" customHeight="1">
      <x:c r="A3" s="16" t="inlineStr">
        <x:is>
          <x:t xml:space="preserve">MS2</x:t>
        </x:is>
      </x:c>
      <x:c r="B3" s="16" t="inlineStr">
        <x:is>
          <x:t xml:space="preserve">Preferred term present</x:t>
        </x:is>
      </x:c>
      <x:c r="C3" s="16" t="inlineStr">
        <x:is>
          <x:t xml:space="preserve">+10</x:t>
        </x:is>
      </x:c>
      <x:c r="D3" s="16" t="inlineStr">
        <x:is>
          <x:t xml:space="preserve">Improves ranking but not mandatory.</x:t>
        </x:is>
      </x:c>
    </x:row>
    <x:row r="4" s="12" customFormat="1" ht="15" customHeight="1">
      <x:c r="A4" s="16" t="inlineStr">
        <x:is>
          <x:t xml:space="preserve">MS3</x:t>
        </x:is>
      </x:c>
      <x:c r="B4" s="16" t="inlineStr">
        <x:is>
          <x:t xml:space="preserve">PopulationTarget matched</x:t>
        </x:is>
      </x:c>
      <x:c r="C4" s="16" t="inlineStr">
        <x:is>
          <x:t xml:space="preserve">+15</x:t>
        </x:is>
      </x:c>
      <x:c r="D4" s="16" t="inlineStr">
        <x:is>
          <x:t xml:space="preserve">Target population aligned.</x:t>
        </x:is>
      </x:c>
    </x:row>
    <x:row r="5" s="12" customFormat="1" ht="15" customHeight="1">
      <x:c r="A5" s="16" t="inlineStr">
        <x:is>
          <x:t xml:space="preserve">MS4</x:t>
        </x:is>
      </x:c>
      <x:c r="B5" s="16" t="inlineStr">
        <x:is>
          <x:t xml:space="preserve">InterventionTarget matched</x:t>
        </x:is>
      </x:c>
      <x:c r="C5" s="16" t="inlineStr">
        <x:is>
          <x:t xml:space="preserve">+15</x:t>
        </x:is>
      </x:c>
      <x:c r="D5" s="16" t="inlineStr">
        <x:is>
          <x:t xml:space="preserve">Intervention aligned.</x:t>
        </x:is>
      </x:c>
    </x:row>
    <x:row r="6" s="12" customFormat="1" ht="15" customHeight="1">
      <x:c r="A6" s="16" t="inlineStr">
        <x:is>
          <x:t xml:space="preserve">MS5</x:t>
        </x:is>
      </x:c>
      <x:c r="B6" s="16" t="inlineStr">
        <x:is>
          <x:t xml:space="preserve">EndpointTarget matched</x:t>
        </x:is>
      </x:c>
      <x:c r="C6" s="16" t="inlineStr">
        <x:is>
          <x:t xml:space="preserve">+15</x:t>
        </x:is>
      </x:c>
      <x:c r="D6" s="16" t="inlineStr">
        <x:is>
          <x:t xml:space="preserve">Endpoint aligned.</x:t>
        </x:is>
      </x:c>
    </x:row>
    <x:row r="7" s="12" customFormat="1" ht="15" customHeight="1">
      <x:c r="A7" s="16" t="inlineStr">
        <x:is>
          <x:t xml:space="preserve">MS6</x:t>
        </x:is>
      </x:c>
      <x:c r="B7" s="16" t="inlineStr">
        <x:is>
          <x:t xml:space="preserve">SectionType = Results</x:t>
        </x:is>
      </x:c>
      <x:c r="C7" s="16" t="inlineStr">
        <x:is>
          <x:t xml:space="preserve">+10</x:t>
        </x:is>
      </x:c>
      <x:c r="D7" s="16" t="inlineStr">
        <x:is>
          <x:t xml:space="preserve">Results weighted higher for direct evidence.</x:t>
        </x:is>
      </x:c>
    </x:row>
    <x:row r="8" s="12" customFormat="1" ht="15" customHeight="1">
      <x:c r="A8" s="16" t="inlineStr">
        <x:is>
          <x:t xml:space="preserve">MS7</x:t>
        </x:is>
      </x:c>
      <x:c r="B8" s="16" t="inlineStr">
        <x:is>
          <x:t xml:space="preserve">Hedging term present</x:t>
        </x:is>
      </x:c>
      <x:c r="C8" s="16" t="inlineStr">
        <x:is>
          <x:t xml:space="preserve">-15</x:t>
        </x:is>
      </x:c>
      <x:c r="D8" s="16" t="inlineStr">
        <x:is>
          <x:t xml:space="preserve">Reduce score and trigger review.</x:t>
        </x:is>
      </x:c>
    </x:row>
    <x:row r="9" s="12" customFormat="1" ht="15" customHeight="1">
      <x:c r="A9" s="16" t="inlineStr">
        <x:is>
          <x:t xml:space="preserve">MS8</x:t>
        </x:is>
      </x:c>
      <x:c r="B9" s="16" t="inlineStr">
        <x:is>
          <x:t xml:space="preserve">ExcludeTerm present</x:t>
        </x:is>
      </x:c>
      <x:c r="C9" s="16" t="inlineStr">
        <x:is>
          <x:t xml:space="preserve">-100</x:t>
        </x:is>
      </x:c>
      <x:c r="D9" s="16" t="inlineStr">
        <x:is>
          <x:t xml:space="preserve">Immediate rejection threshold.</x:t>
        </x:is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0" style="11" customWidth="1"/>
    <x:col min="2" max="2" width="18" style="11" customWidth="1"/>
    <x:col min="3" max="3" width="14" style="11" customWidth="1"/>
    <x:col min="4" max="4" width="12" style="11" customWidth="1"/>
    <x:col min="5" max="5" width="20" style="11" customWidth="1"/>
    <x:col min="6" max="6" width="45" style="11" customWidth="1"/>
    <x:col min="7" max="7" width="24" style="11" customWidth="1"/>
    <x:col min="8" max="8" width="22" style="11" customWidth="1"/>
    <x:col min="9" max="9" width="42" style="11" customWidth="1"/>
    <x:col min="10" max="10" width="22" style="11" customWidth="1"/>
    <x:col min="11" max="11" width="20" style="11" customWidth="1"/>
    <x:col min="12" max="12" width="18" style="11" customWidth="1"/>
    <x:col min="13" max="13" width="58" style="11" customWidth="1"/>
    <x:col min="14" max="14" width="14" style="11" customWidth="1"/>
    <x:col min="15" max="16" width="12" style="11" customWidth="1"/>
    <x:col min="17" max="17" width="18" style="11" customWidth="1"/>
    <x:col min="18" max="18" width="26" style="11" customWidth="1"/>
    <x:col min="19" max="19" width="18" style="11" customWidth="1"/>
    <x:col min="20" max="20" width="32" style="11" customWidth="1"/>
    <x:col min="21" max="21" width="28" style="11" customWidth="1"/>
    <x:col min="22" max="22" width="22" style="11" customWidth="1"/>
    <x:col min="23" max="24" width="20" style="11" customWidth="1"/>
    <x:col min="25" max="25" width="22" style="11" customWidth="1"/>
    <x:col min="26" max="26" width="24" style="11" customWidth="1"/>
    <x:col min="27" max="27" width="16" style="11" customWidth="1"/>
    <x:col min="28" max="28" width="18" style="11" customWidth="1"/>
    <x:col min="29" max="29" width="24" style="11" customWidth="1"/>
  </x:cols>
  <x:sheetData>
    <x:row r="1" s="12" customFormat="1" ht="28.350000381469727" customHeight="1">
      <x:c r="A1" s="19" t="inlineStr">
        <x:is>
          <x:t xml:space="preserve">ProgramID</x:t>
        </x:is>
      </x:c>
      <x:c r="B1" s="19" t="inlineStr">
        <x:is>
          <x:t xml:space="preserve">CanvasID</x:t>
        </x:is>
      </x:c>
      <x:c r="C1" s="19" t="inlineStr">
        <x:is>
          <x:t xml:space="preserve">SubBeliefID</x:t>
        </x:is>
      </x:c>
      <x:c r="D1" s="19" t="inlineStr">
        <x:is>
          <x:t xml:space="preserve">SequenceOrder</x:t>
        </x:is>
      </x:c>
      <x:c r="E1" s="19" t="inlineStr">
        <x:is>
          <x:t xml:space="preserve">GapDimension</x:t>
        </x:is>
      </x:c>
      <x:c r="F1" s="19" t="inlineStr">
        <x:is>
          <x:t xml:space="preserve">SubBeliefShift</x:t>
        </x:is>
      </x:c>
      <x:c r="G1" s="19" t="inlineStr">
        <x:is>
          <x:t xml:space="preserve">SubBeliefType</x:t>
        </x:is>
      </x:c>
      <x:c r="H1" s="19" t="inlineStr">
        <x:is>
          <x:t xml:space="preserve">StrategicRole</x:t>
        </x:is>
      </x:c>
      <x:c r="I1" s="19" t="inlineStr">
        <x:is>
          <x:t xml:space="preserve">CommunicationObjective</x:t>
        </x:is>
      </x:c>
      <x:c r="J1" s="19" t="inlineStr">
        <x:is>
          <x:t xml:space="preserve">StatementID</x:t>
        </x:is>
      </x:c>
      <x:c r="K1" s="19" t="inlineStr">
        <x:is>
          <x:t xml:space="preserve">StatementType</x:t>
        </x:is>
      </x:c>
      <x:c r="L1" s="19" t="inlineStr">
        <x:is>
          <x:t xml:space="preserve">ClaimType</x:t>
        </x:is>
      </x:c>
      <x:c r="M1" s="19" t="inlineStr">
        <x:is>
          <x:t xml:space="preserve">ScientificStatement</x:t>
        </x:is>
      </x:c>
      <x:c r="N1" s="19" t="inlineStr">
        <x:is>
          <x:t xml:space="preserve">StatementPriority</x:t>
        </x:is>
      </x:c>
      <x:c r="O1" s="19" t="inlineStr">
        <x:is>
          <x:t xml:space="preserve">MinimumTier</x:t>
        </x:is>
      </x:c>
      <x:c r="P1" s="19" t="inlineStr">
        <x:is>
          <x:t xml:space="preserve">MinimumSourceCount</x:t>
        </x:is>
      </x:c>
      <x:c r="Q1" s="19" t="inlineStr">
        <x:is>
          <x:t xml:space="preserve">DirectEvidenceRequired</x:t>
        </x:is>
      </x:c>
      <x:c r="R1" s="19" t="inlineStr">
        <x:is>
          <x:t xml:space="preserve">AllowedStudyTypes</x:t>
        </x:is>
      </x:c>
      <x:c r="S1" s="19" t="inlineStr">
        <x:is>
          <x:t xml:space="preserve">SearchIntent</x:t>
        </x:is>
      </x:c>
      <x:c r="T1" s="19" t="inlineStr">
        <x:is>
          <x:t xml:space="preserve">MustIncludeTerms</x:t>
        </x:is>
      </x:c>
      <x:c r="U1" s="19" t="inlineStr">
        <x:is>
          <x:t xml:space="preserve">PreferredTerms</x:t>
        </x:is>
      </x:c>
      <x:c r="V1" s="19" t="inlineStr">
        <x:is>
          <x:t xml:space="preserve">ExcludeTerms</x:t>
        </x:is>
      </x:c>
      <x:c r="W1" s="19" t="inlineStr">
        <x:is>
          <x:t xml:space="preserve">PopulationTarget</x:t>
        </x:is>
      </x:c>
      <x:c r="X1" s="19" t="inlineStr">
        <x:is>
          <x:t xml:space="preserve">InterventionTarget</x:t>
        </x:is>
      </x:c>
      <x:c r="Y1" s="19" t="inlineStr">
        <x:is>
          <x:t xml:space="preserve">EndpointTarget</x:t>
        </x:is>
      </x:c>
      <x:c r="Z1" s="19" t="inlineStr">
        <x:is>
          <x:t xml:space="preserve">PreferredSectionTypes</x:t>
        </x:is>
      </x:c>
      <x:c r="AA1" s="19" t="inlineStr">
        <x:is>
          <x:t xml:space="preserve">MinimumMatchScore</x:t>
        </x:is>
      </x:c>
      <x:c r="AB1" s="19" t="inlineStr">
        <x:is>
          <x:t xml:space="preserve">OutputDestination</x:t>
        </x:is>
      </x:c>
      <x:c r="AC1" s="19" t="inlineStr">
        <x:is>
          <x:t xml:space="preserve">ReviewerNotes</x:t>
        </x:is>
      </x:c>
    </x:row>
    <x:row r="2" s="12" customFormat="1" ht="41.75" customHeight="1">
      <x:c r="A2" s="16" t="inlineStr">
        <x:is>
          <x:t xml:space="preserve">HIV_LAI_LAUNCH</x:t>
        </x:is>
      </x:c>
      <x:c r="B2" s="16" t="inlineStr">
        <x:is>
          <x:t xml:space="preserve">CANVAS_HIV_LAI_01</x:t>
        </x:is>
      </x:c>
      <x:c r="C2" s="16" t="inlineStr">
        <x:is>
          <x:t xml:space="preserve">SB1</x:t>
        </x:is>
      </x:c>
      <x:c r="D2" s="16" t="n">
        <x:v>1</x:v>
      </x:c>
      <x:c r="E2" s="16" t="inlineStr">
        <x:is>
          <x:t xml:space="preserve">Practice gap</x:t>
        </x:is>
      </x:c>
      <x:c r="F2" s="16" t="inlineStr">
        <x:is>
          <x:t xml:space="preserve">Daily oral therapy depends on sustained adherence that may not be achieved consistently in practice.</x:t>
        </x:is>
      </x:c>
      <x:c r="G2" s="16" t="inlineStr">
        <x:is>
          <x:t xml:space="preserve">Standard-of-care limitation</x:t>
        </x:is>
      </x:c>
      <x:c r="H2" s="16" t="inlineStr">
        <x:is>
          <x:t xml:space="preserve">Challenge current assumption</x:t>
        </x:is>
      </x:c>
      <x:c r="I2" s="16" t="inlineStr">
        <x:is>
          <x:t xml:space="preserve">Help HCPs recognize that oral control depends on real-world adherence, not only regimen potency.</x:t>
        </x:is>
      </x:c>
      <x:c r="J2" s="16" t="inlineStr">
        <x:is>
          <x:t xml:space="preserve">HIV_LAI_LAUNCH_ST01</x:t>
        </x:is>
      </x:c>
      <x:c r="K2" s="16" t="inlineStr">
        <x:is>
          <x:t xml:space="preserve">Core support</x:t>
        </x:is>
      </x:c>
      <x:c r="L2" s="16" t="inlineStr">
        <x:is>
          <x:t xml:space="preserve">Clinical efficacy</x:t>
        </x:is>
      </x:c>
      <x:c r="M2" s="16" t="inlineStr">
        <x:is>
          <x:t xml:space="preserve">Suboptimal adherence to daily oral ART is associated with increased risk of virologic rebound.</x:t>
        </x:is>
      </x:c>
      <x:c r="N2" s="16" t="inlineStr">
        <x:is>
          <x:t xml:space="preserve">High</x:t>
        </x:is>
      </x:c>
      <x:c r="O2" s="16" t="inlineStr">
        <x:is>
          <x:t xml:space="preserve">A</x:t>
        </x:is>
      </x:c>
      <x:c r="P2" s="16" t="n">
        <x:v>2</x:v>
      </x:c>
      <x:c r="Q2" s="16" t="inlineStr">
        <x:is>
          <x:t xml:space="preserve">Yes</x:t>
        </x:is>
      </x:c>
      <x:c r="R2" s="16" t="inlineStr">
        <x:is>
          <x:t xml:space="preserve">RCT; prospective cohort</x:t>
        </x:is>
      </x:c>
      <x:c r="S2" s="16" t="inlineStr">
        <x:is>
          <x:t xml:space="preserve">Exact support</x:t>
        </x:is>
      </x:c>
      <x:c r="T2" s="16" t="inlineStr">
        <x:is>
          <x:t xml:space="preserve">adherence; oral ART; virologic rebound</x:t>
        </x:is>
      </x:c>
      <x:c r="U2" s="16" t="inlineStr">
        <x:is>
          <x:t xml:space="preserve">viral suppression; missed doses</x:t>
        </x:is>
      </x:c>
      <x:c r="V2" s="16" t="inlineStr">
        <x:is>
          <x:t xml:space="preserve">animal; in vitro</x:t>
        </x:is>
      </x:c>
      <x:c r="W2" s="16" t="inlineStr">
        <x:is>
          <x:t xml:space="preserve">Adults with HIV</x:t>
        </x:is>
      </x:c>
      <x:c r="X2" s="16" t="inlineStr">
        <x:is>
          <x:t xml:space="preserve">Oral ART</x:t>
        </x:is>
      </x:c>
      <x:c r="Y2" s="16" t="inlineStr">
        <x:is>
          <x:t xml:space="preserve">Virologic rebound</x:t>
        </x:is>
      </x:c>
      <x:c r="Z2" s="16" t="inlineStr">
        <x:is>
          <x:t xml:space="preserve">Abstract; Results; Discussion</x:t>
        </x:is>
      </x:c>
      <x:c r="AA2" s="16" t="n">
        <x:v>70</x:v>
      </x:c>
      <x:c r="AB2" s="16" t="inlineStr">
        <x:is>
          <x:t xml:space="preserve">Candidate_Evidence</x:t>
        </x:is>
      </x:c>
      <x:c r="AC2" s="16" t="inlineStr">
        <x:is>
          <x:t xml:space="preserve">Worked example</x:t>
        </x:is>
      </x:c>
    </x:row>
    <x:row r="3" s="12" customFormat="1" ht="28.350000381469727" customHeight="1">
      <x:c r="A3" s="16" t="inlineStr">
        <x:is>
          <x:t xml:space="preserve">HIV_LAI_LAUNCH</x:t>
        </x:is>
      </x:c>
      <x:c r="B3" s="16" t="inlineStr">
        <x:is>
          <x:t xml:space="preserve">CANVAS_HIV_LAI_01</x:t>
        </x:is>
      </x:c>
      <x:c r="C3" s="16" t="inlineStr">
        <x:is>
          <x:t xml:space="preserve">SB2</x:t>
        </x:is>
      </x:c>
      <x:c r="D3" s="16" t="n">
        <x:v>2</x:v>
      </x:c>
      <x:c r="E3" s="16" t="inlineStr">
        <x:is>
          <x:t xml:space="preserve">Efficacy gap</x:t>
        </x:is>
      </x:c>
      <x:c r="F3" s="16" t="inlineStr">
        <x:is>
          <x:t xml:space="preserve">Long-acting therapy may reduce adherence-related vulnerability in appropriate patients.</x:t>
        </x:is>
      </x:c>
      <x:c r="G3" s="16" t="inlineStr">
        <x:is>
          <x:t xml:space="preserve">Clinical efficacy</x:t>
        </x:is>
      </x:c>
      <x:c r="H3" s="16" t="inlineStr">
        <x:is>
          <x:t xml:space="preserve">Introduce new treatment logic</x:t>
        </x:is>
      </x:c>
      <x:c r="I3" s="16" t="inlineStr">
        <x:is>
          <x:t xml:space="preserve">Help HCPs reconsider LAI therapy as a clinically meaningful adherence-stabilizing option.</x:t>
        </x:is>
      </x:c>
      <x:c r="J3" s="16" t="inlineStr">
        <x:is>
          <x:t xml:space="preserve">HIV_LAI_LAUNCH_ST02</x:t>
        </x:is>
      </x:c>
      <x:c r="K3" s="16" t="inlineStr">
        <x:is>
          <x:t xml:space="preserve">Core support</x:t>
        </x:is>
      </x:c>
      <x:c r="L3" s="16" t="inlineStr">
        <x:is>
          <x:t xml:space="preserve">Clinical efficacy</x:t>
        </x:is>
      </x:c>
      <x:c r="M3" s="16" t="inlineStr">
        <x:is>
          <x:t xml:space="preserve">Long-acting injectable ART can support durable viral suppression in appropriately selected patients.</x:t>
        </x:is>
      </x:c>
      <x:c r="N3" s="16" t="inlineStr">
        <x:is>
          <x:t xml:space="preserve">High</x:t>
        </x:is>
      </x:c>
      <x:c r="O3" s="16" t="inlineStr">
        <x:is>
          <x:t xml:space="preserve">A</x:t>
        </x:is>
      </x:c>
      <x:c r="P3" s="16" t="n">
        <x:v>2</x:v>
      </x:c>
      <x:c r="Q3" s="16" t="inlineStr">
        <x:is>
          <x:t xml:space="preserve">Yes</x:t>
        </x:is>
      </x:c>
      <x:c r="R3" s="16" t="inlineStr">
        <x:is>
          <x:t xml:space="preserve">RCT; prospective cohort</x:t>
        </x:is>
      </x:c>
      <x:c r="S3" s="16" t="inlineStr">
        <x:is>
          <x:t xml:space="preserve">Exact support</x:t>
        </x:is>
      </x:c>
      <x:c r="T3" s="16" t="inlineStr">
        <x:is>
          <x:t xml:space="preserve">long-acting injectable; viral suppression</x:t>
        </x:is>
      </x:c>
      <x:c r="U3" s="16" t="inlineStr">
        <x:is>
          <x:t xml:space="preserve">cabotegravir; rilpivirine; durable</x:t>
        </x:is>
      </x:c>
      <x:c r="V3" s="16" t="inlineStr">
        <x:is>
          <x:t xml:space="preserve">animal; preclinical</x:t>
        </x:is>
      </x:c>
      <x:c r="W3" s="16" t="inlineStr">
        <x:is>
          <x:t xml:space="preserve">Adults with HIV</x:t>
        </x:is>
      </x:c>
      <x:c r="X3" s="16" t="inlineStr">
        <x:is>
          <x:t xml:space="preserve">LAI ART</x:t>
        </x:is>
      </x:c>
      <x:c r="Y3" s="16" t="inlineStr">
        <x:is>
          <x:t xml:space="preserve">Viral suppression</x:t>
        </x:is>
      </x:c>
      <x:c r="Z3" s="16" t="inlineStr">
        <x:is>
          <x:t xml:space="preserve">Abstract; Results; Conclusion</x:t>
        </x:is>
      </x:c>
      <x:c r="AA3" s="16" t="n">
        <x:v>75</x:v>
      </x:c>
      <x:c r="AB3" s="16" t="inlineStr">
        <x:is>
          <x:t xml:space="preserve">Candidate_Evidence</x:t>
        </x:is>
      </x:c>
      <x:c r="AC3" s="16" t="inlineStr">
        <x:is>
          <x:t xml:space="preserve">Worked example</x:t>
        </x:is>
      </x:c>
    </x:row>
    <x:row r="4" s="12" customFormat="1" ht="28.350000381469727" customHeight="1">
      <x:c r="A4" s="16" t="inlineStr">
        <x:is>
          <x:t xml:space="preserve">HIV_LAI_LAUNCH</x:t>
        </x:is>
      </x:c>
      <x:c r="B4" s="16" t="inlineStr">
        <x:is>
          <x:t xml:space="preserve">CANVAS_HIV_LAI_01</x:t>
        </x:is>
      </x:c>
      <x:c r="C4" s="16" t="inlineStr">
        <x:is>
          <x:t xml:space="preserve">SB3</x:t>
        </x:is>
      </x:c>
      <x:c r="D4" s="16" t="n">
        <x:v>3</x:v>
      </x:c>
      <x:c r="E4" s="16" t="inlineStr">
        <x:is>
          <x:t xml:space="preserve">Generalizability gap</x:t>
        </x:is>
      </x:c>
      <x:c r="F4" s="16" t="inlineStr">
        <x:is>
          <x:t xml:space="preserve">LAI therapy is relevant to more than only the most extreme nonadherent patients.</x:t>
        </x:is>
      </x:c>
      <x:c r="G4" s="16" t="inlineStr">
        <x:is>
          <x:t xml:space="preserve">Generalizability</x:t>
        </x:is>
      </x:c>
      <x:c r="H4" s="16" t="inlineStr">
        <x:is>
          <x:t xml:space="preserve">Expand candidate pool</x:t>
        </x:is>
      </x:c>
      <x:c r="I4" s="16" t="inlineStr">
        <x:is>
          <x:t xml:space="preserve">Help HCPs broaden the set of appropriate patients they consider for LAI therapy.</x:t>
        </x:is>
      </x:c>
      <x:c r="J4" s="16" t="inlineStr">
        <x:is>
          <x:t xml:space="preserve">HIV_LAI_LAUNCH_ST03</x:t>
        </x:is>
      </x:c>
      <x:c r="K4" s="16" t="inlineStr">
        <x:is>
          <x:t xml:space="preserve">Generalizability support</x:t>
        </x:is>
      </x:c>
      <x:c r="L4" s="16" t="inlineStr">
        <x:is>
          <x:t xml:space="preserve">Generalizability</x:t>
        </x:is>
      </x:c>
      <x:c r="M4" s="16" t="inlineStr">
        <x:is>
          <x:t xml:space="preserve">Patients considered stable in clinic may still benefit from treatment options that reduce daily adherence burden.</x:t>
        </x:is>
      </x:c>
      <x:c r="N4" s="16" t="inlineStr">
        <x:is>
          <x:t xml:space="preserve">Medium</x:t>
        </x:is>
      </x:c>
      <x:c r="O4" s="16" t="inlineStr">
        <x:is>
          <x:t xml:space="preserve">B</x:t>
        </x:is>
      </x:c>
      <x:c r="P4" s="16" t="n">
        <x:v>2</x:v>
      </x:c>
      <x:c r="Q4" s="16" t="inlineStr">
        <x:is>
          <x:t xml:space="preserve">No</x:t>
        </x:is>
      </x:c>
      <x:c r="R4" s="16" t="inlineStr">
        <x:is>
          <x:t xml:space="preserve">RCT subgroup; cohort; real-world evidence</x:t>
        </x:is>
      </x:c>
      <x:c r="S4" s="16" t="inlineStr">
        <x:is>
          <x:t xml:space="preserve">Generalizability</x:t>
        </x:is>
      </x:c>
      <x:c r="T4" s="16" t="inlineStr">
        <x:is>
          <x:t xml:space="preserve">stable patients; adherence burden</x:t>
        </x:is>
      </x:c>
      <x:c r="U4" s="16" t="inlineStr">
        <x:is>
          <x:t xml:space="preserve">patient preference; pill burden</x:t>
        </x:is>
      </x:c>
      <x:c r="V4" s="16" t="inlineStr">
        <x:is>
          <x:t xml:space="preserve">animal; opinion only</x:t>
        </x:is>
      </x:c>
      <x:c r="W4" s="16" t="inlineStr">
        <x:is>
          <x:t xml:space="preserve">Adults with HIV</x:t>
        </x:is>
      </x:c>
      <x:c r="X4" s="16" t="inlineStr">
        <x:is>
          <x:t xml:space="preserve">LAI ART</x:t>
        </x:is>
      </x:c>
      <x:c r="Y4" s="16" t="inlineStr">
        <x:is>
          <x:t xml:space="preserve">Adherence burden</x:t>
        </x:is>
      </x:c>
      <x:c r="Z4" s="16" t="inlineStr">
        <x:is>
          <x:t xml:space="preserve">Discussion; Conclusion; Guideline recommendation</x:t>
        </x:is>
      </x:c>
      <x:c r="AA4" s="16" t="n">
        <x:v>60</x:v>
      </x:c>
      <x:c r="AB4" s="16" t="inlineStr">
        <x:is>
          <x:t xml:space="preserve">Candidate_Evidence</x:t>
        </x:is>
      </x:c>
      <x:c r="AC4" s="16" t="inlineStr">
        <x:is>
          <x:t xml:space="preserve">Worked example</x:t>
        </x:is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8" style="11" hidden="0" customWidth="1"/>
    <x:col min="2" max="2" width="12" style="11" hidden="0" customWidth="1"/>
    <x:col min="3" max="3" width="22" style="11" hidden="0" customWidth="1"/>
    <x:col min="4" max="4" width="24" style="11" hidden="0" customWidth="1"/>
    <x:col min="5" max="5" width="55" style="11" hidden="0" customWidth="1"/>
    <x:col min="6" max="6" width="18" style="11" hidden="0" customWidth="1"/>
    <x:col min="7" max="7" width="14" style="11" hidden="0" customWidth="1"/>
    <x:col min="8" max="8" width="14" style="11" hidden="0" customWidth="1"/>
    <x:col min="9" max="9" width="16" style="11" hidden="0" customWidth="1"/>
    <x:col min="10" max="10" width="16" style="12" hidden="0" customWidth="1"/>
    <x:col min="11" max="11" width="12" hidden="0" customWidth="1"/>
    <x:col min="12" max="12" width="16" hidden="0" customWidth="1"/>
  </x:cols>
  <x:sheetData>
    <x:row r="1" s="12" customFormat="1" ht="34.1796875" hidden="0" customHeight="1">
      <x:c r="A1" s="177" t="str">
        <x:v>Statement Blueprint</x:v>
      </x:c>
      <x:c r="B1" s="21"/>
      <x:c r="C1" s="21"/>
      <x:c r="D1" s="21"/>
      <x:c r="E1" s="21"/>
      <x:c r="F1" s="21"/>
      <x:c r="G1" s="21"/>
      <x:c r="H1" s="21"/>
      <x:c r="I1" s="21"/>
      <x:c r="J1" s="13"/>
    </x:row>
    <x:row r="2" s="12" customFormat="1" ht="136.71875" hidden="0" customHeight="1">
      <x:c r="A2" s="155" t="str">
        <x:v>Atomic medical statements generated from each BridgeID. No statement should exist without a parent bridge.</x:v>
      </x:c>
      <x:c r="B2" s="16"/>
      <x:c r="C2" s="16"/>
      <x:c r="D2" s="16"/>
      <x:c r="E2" s="16"/>
      <x:c r="F2" s="16"/>
      <x:c r="G2" s="16"/>
      <x:c r="H2" s="16"/>
      <x:c r="I2" s="16"/>
      <x:c r="J2"/>
    </x:row>
    <x:row r="3" s="12" customFormat="1" ht="17.08984375" hidden="0" customHeight="1">
      <x:c r="A3" s="16"/>
      <x:c r="B3" s="16"/>
      <x:c r="C3" s="16"/>
      <x:c r="D3" s="16"/>
      <x:c r="E3" s="16"/>
      <x:c r="F3" s="16"/>
      <x:c r="G3" s="16"/>
      <x:c r="H3" s="16"/>
      <x:c r="I3" s="16"/>
      <x:c r="J3"/>
    </x:row>
    <x:row r="4" s="12" customFormat="1" ht="34.1796875" hidden="0" customHeight="1">
      <x:c r="A4" s="184" t="str">
        <x:v>ProgramID</x:v>
      </x:c>
      <x:c r="B4" s="185" t="str">
        <x:v>BridgeID</x:v>
      </x:c>
      <x:c r="C4" s="185" t="str">
        <x:v>StatementID</x:v>
      </x:c>
      <x:c r="D4" s="185" t="str">
        <x:v>MessagePillar</x:v>
      </x:c>
      <x:c r="E4" s="185" t="str">
        <x:v>MedicalStatement</x:v>
      </x:c>
      <x:c r="F4" s="185" t="str">
        <x:v>ClaimDomain</x:v>
      </x:c>
      <x:c r="G4" s="185" t="str">
        <x:v>StatementPriority</x:v>
      </x:c>
      <x:c r="H4" s="185" t="str">
        <x:v>MLRRisk</x:v>
      </x:c>
      <x:c r="I4" s="185" t="str">
        <x:v>BAOSRelevance</x:v>
      </x:c>
      <x:c r="J4" s="159" t="str">
        <x:v>CIOSRelevance</x:v>
      </x:c>
      <x:c r="K4" s="159" t="str">
        <x:v>Status</x:v>
      </x:c>
      <x:c r="L4" s="128" t="str">
        <x:v>EligibleForMedicalMap</x:v>
      </x:c>
    </x:row>
    <x:row r="5" ht="51.26953125" hidden="0" customHeight="1">
      <x:c r="A5" s="143" t="str">
        <x:v>HIV_LAI_LAUNCH</x:v>
      </x:c>
      <x:c r="B5" s="164" t="str">
        <x:v>BR01</x:v>
      </x:c>
      <x:c r="C5" s="164" t="str">
        <x:v>HIV_LAI_LAUNCH_ST01</x:v>
      </x:c>
      <x:c r="D5" s="164" t="str">
        <x:v>Adherence vulnerability of oral care</x:v>
      </x:c>
      <x:c r="E5" s="164" t="str">
        <x:v>Suboptimal adherence to daily oral ART is associated with increased risk of virologic rebound.</x:v>
      </x:c>
      <x:c r="F5" s="164" t="str">
        <x:v>Adherence / efficacy</x:v>
      </x:c>
      <x:c r="G5" s="164" t="str">
        <x:v>High</x:v>
      </x:c>
      <x:c r="H5" s="164" t="str">
        <x:v>Low</x:v>
      </x:c>
      <x:c r="I5" s="164" t="str">
        <x:v>High</x:v>
      </x:c>
      <x:c r="J5" s="164" t="str">
        <x:v>High</x:v>
      </x:c>
      <x:c r="K5" s="164" t="str">
        <x:v>Approved</x:v>
      </x:c>
      <x:c r="L5" s="144" t="str">
        <x:v>Yes</x:v>
      </x:c>
    </x:row>
    <x:row r="6" ht="51.26953125" hidden="0" customHeight="1">
      <x:c r="A6" s="145" t="str">
        <x:v>HIV_LAI_LAUNCH</x:v>
      </x:c>
      <x:c r="B6" s="173" t="str">
        <x:v>BR02</x:v>
      </x:c>
      <x:c r="C6" s="173" t="str">
        <x:v>HIV_LAI_LAUNCH_ST02</x:v>
      </x:c>
      <x:c r="D6" s="173" t="str">
        <x:v>LAI as clinically meaningful option</x:v>
      </x:c>
      <x:c r="E6" s="173" t="str">
        <x:v>Long-acting injectable ART can support durable viral suppression in appropriately selected patients.</x:v>
      </x:c>
      <x:c r="F6" s="173" t="str">
        <x:v>Durability / efficacy</x:v>
      </x:c>
      <x:c r="G6" s="173" t="str">
        <x:v>High</x:v>
      </x:c>
      <x:c r="H6" s="173" t="str">
        <x:v>Low</x:v>
      </x:c>
      <x:c r="I6" s="173" t="str">
        <x:v>High</x:v>
      </x:c>
      <x:c r="J6" s="173" t="str">
        <x:v>High</x:v>
      </x:c>
      <x:c r="K6" s="173" t="str">
        <x:v>Approved</x:v>
      </x:c>
      <x:c r="L6" s="146" t="str">
        <x:v>Yes</x:v>
      </x:c>
    </x:row>
    <x:row r="7" ht="68.359375" hidden="0" customHeight="1">
      <x:c r="A7" s="145" t="str">
        <x:v>HIV_LAI_LAUNCH</x:v>
      </x:c>
      <x:c r="B7" s="173" t="str">
        <x:v>BR03</x:v>
      </x:c>
      <x:c r="C7" s="173" t="str">
        <x:v>HIV_LAI_LAUNCH_ST03</x:v>
      </x:c>
      <x:c r="D7" s="173" t="str">
        <x:v>Practice translation</x:v>
      </x:c>
      <x:c r="E7" s="173" t="str">
        <x:v>Operational objections around scheduling and missed injections can be anticipated and addressed through patient selection and workflow planning.</x:v>
      </x:c>
      <x:c r="F7" s="173" t="str">
        <x:v>Workflow / behavior</x:v>
      </x:c>
      <x:c r="G7" s="173" t="str">
        <x:v>Medium</x:v>
      </x:c>
      <x:c r="H7" s="173" t="str">
        <x:v>Moderate</x:v>
      </x:c>
      <x:c r="I7" s="173" t="str">
        <x:v>High</x:v>
      </x:c>
      <x:c r="J7" s="173" t="str">
        <x:v>High</x:v>
      </x:c>
      <x:c r="K7" s="173" t="str">
        <x:v>Draft</x:v>
      </x:c>
      <x:c r="L7" s="146" t="str">
        <x:v>Yes</x:v>
      </x:c>
    </x:row>
    <x:row r="8" ht="17.08984375" hidden="0" customHeight="1">
      <x:c r="A8" s="147" t="str"/>
      <x:c r="B8" s="165" t="str"/>
      <x:c r="C8" s="165" t="str"/>
      <x:c r="D8" s="165" t="str"/>
      <x:c r="E8" s="165" t="str"/>
      <x:c r="F8" s="165" t="str"/>
      <x:c r="G8" s="165" t="str"/>
      <x:c r="H8" s="165" t="str"/>
      <x:c r="I8" s="165" t="str"/>
      <x:c r="J8" s="165" t="str"/>
      <x:c r="K8" s="165" t="str"/>
      <x:c r="L8" s="148" t="str"/>
    </x:row>
  </x:sheetData>
  <x:mergeCells>
    <x:mergeCell ref="A1:L1"/>
    <x:mergeCell ref="A2:L2"/>
  </x:mergeCells>
  <x:dataValidations count="6">
    <x:dataValidation type="list" sqref="G5:G200">
      <x:formula1>"High,Medium,Moderate,Low"</x:formula1>
    </x:dataValidation>
    <x:dataValidation type="list" sqref="H5:H200">
      <x:formula1>"High,Medium,Moderate,Low"</x:formula1>
    </x:dataValidation>
    <x:dataValidation type="list" sqref="I5:I200">
      <x:formula1>"High,Medium,Moderate,Low"</x:formula1>
    </x:dataValidation>
    <x:dataValidation type="list" sqref="J5:J200">
      <x:formula1>"High,Medium,Moderate,Low"</x:formula1>
    </x:dataValidation>
    <x:dataValidation type="list" sqref="K5:K200">
      <x:formula1>"Approved,Draft,Blocked"</x:formula1>
    </x:dataValidation>
    <x:dataValidation type="list" sqref="L5:L2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977b2a01fc04cfc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0" style="11" customWidth="1"/>
    <x:col min="2" max="2" width="22" style="11" customWidth="1"/>
    <x:col min="3" max="3" width="32" style="11" customWidth="1"/>
    <x:col min="4" max="4" width="28" style="11" customWidth="1"/>
    <x:col min="5" max="5" width="24" style="11" customWidth="1"/>
    <x:col min="6" max="8" width="18" style="11" customWidth="1"/>
    <x:col min="9" max="10" width="24" style="11" customWidth="1"/>
    <x:col min="11" max="11" width="16" style="11" customWidth="1"/>
    <x:col min="12" max="12" width="18" style="11" customWidth="1"/>
    <x:col min="13" max="13" width="28" style="11" customWidth="1"/>
  </x:cols>
  <x:sheetData>
    <x:row r="1" s="12" customFormat="1" ht="28.350000381469727" customHeight="1">
      <x:c r="A1" s="19" t="inlineStr">
        <x:is>
          <x:t xml:space="preserve">ProgramID</x:t>
        </x:is>
      </x:c>
      <x:c r="B1" s="19" t="inlineStr">
        <x:is>
          <x:t xml:space="preserve">StatementID</x:t>
        </x:is>
      </x:c>
      <x:c r="C1" s="19" t="inlineStr">
        <x:is>
          <x:t xml:space="preserve">MustIncludeTerms</x:t>
        </x:is>
      </x:c>
      <x:c r="D1" s="19" t="inlineStr">
        <x:is>
          <x:t xml:space="preserve">PreferredTerms</x:t>
        </x:is>
      </x:c>
      <x:c r="E1" s="19" t="inlineStr">
        <x:is>
          <x:t xml:space="preserve">ExcludeTerms</x:t>
        </x:is>
      </x:c>
      <x:c r="F1" s="19" t="inlineStr">
        <x:is>
          <x:t xml:space="preserve">PopulationTarget</x:t>
        </x:is>
      </x:c>
      <x:c r="G1" s="19" t="inlineStr">
        <x:is>
          <x:t xml:space="preserve">InterventionTarget</x:t>
        </x:is>
      </x:c>
      <x:c r="H1" s="19" t="inlineStr">
        <x:is>
          <x:t xml:space="preserve">EndpointTarget</x:t>
        </x:is>
      </x:c>
      <x:c r="I1" s="19" t="inlineStr">
        <x:is>
          <x:t xml:space="preserve">AllowedSupportTypes</x:t>
        </x:is>
      </x:c>
      <x:c r="J1" s="19" t="inlineStr">
        <x:is>
          <x:t xml:space="preserve">PreferredSectionTypes</x:t>
        </x:is>
      </x:c>
      <x:c r="K1" s="19" t="inlineStr">
        <x:is>
          <x:t xml:space="preserve">MinimumMatchScore</x:t>
        </x:is>
      </x:c>
      <x:c r="L1" s="19" t="inlineStr">
        <x:is>
          <x:t xml:space="preserve">OutputDestination</x:t>
        </x:is>
      </x:c>
      <x:c r="M1" s="19" t="inlineStr">
        <x:is>
          <x:t xml:space="preserve">HumanReviewRequiredRule</x:t>
        </x:is>
      </x:c>
    </x:row>
    <x:row r="2" s="12" customFormat="1" ht="28.350000381469727" customHeight="1">
      <x:c r="A2" s="16" t="inlineStr">
        <x:is>
          <x:t xml:space="preserve">HIV_LAI_LAUNCH</x:t>
        </x:is>
      </x:c>
      <x:c r="B2" s="16" t="inlineStr">
        <x:is>
          <x:t xml:space="preserve">HIV_LAI_LAUNCH_ST01</x:t>
        </x:is>
      </x:c>
      <x:c r="C2" s="16" t="inlineStr">
        <x:is>
          <x:t xml:space="preserve">adherence; oral ART; virologic rebound</x:t>
        </x:is>
      </x:c>
      <x:c r="D2" s="16" t="inlineStr">
        <x:is>
          <x:t xml:space="preserve">missed doses; viral suppression</x:t>
        </x:is>
      </x:c>
      <x:c r="E2" s="16" t="inlineStr">
        <x:is>
          <x:t xml:space="preserve">animal; in vitro</x:t>
        </x:is>
      </x:c>
      <x:c r="F2" s="16" t="inlineStr">
        <x:is>
          <x:t xml:space="preserve">Adults with HIV</x:t>
        </x:is>
      </x:c>
      <x:c r="G2" s="16" t="inlineStr">
        <x:is>
          <x:t xml:space="preserve">Oral ART</x:t>
        </x:is>
      </x:c>
      <x:c r="H2" s="16" t="inlineStr">
        <x:is>
          <x:t xml:space="preserve">Virologic rebound</x:t>
        </x:is>
      </x:c>
      <x:c r="I2" s="16" t="inlineStr">
        <x:is>
          <x:t xml:space="preserve">Direct support; Partial support</x:t>
        </x:is>
      </x:c>
      <x:c r="J2" s="16" t="inlineStr">
        <x:is>
          <x:t xml:space="preserve">Abstract; Results; Discussion</x:t>
        </x:is>
      </x:c>
      <x:c r="K2" s="16" t="n">
        <x:v>70</x:v>
      </x:c>
      <x:c r="L2" s="16" t="inlineStr">
        <x:is>
          <x:t xml:space="preserve">Candidate_Evidence</x:t>
        </x:is>
      </x:c>
      <x:c r="M2" s="16" t="inlineStr">
        <x:is>
          <x:t xml:space="preserve">If hedging language present or Discussion-only support</x:t>
        </x:is>
      </x:c>
    </x:row>
    <x:row r="3" s="12" customFormat="1" ht="28.350000381469727" customHeight="1">
      <x:c r="A3" s="16" t="inlineStr">
        <x:is>
          <x:t xml:space="preserve">HIV_LAI_LAUNCH</x:t>
        </x:is>
      </x:c>
      <x:c r="B3" s="16" t="inlineStr">
        <x:is>
          <x:t xml:space="preserve">HIV_LAI_LAUNCH_ST02</x:t>
        </x:is>
      </x:c>
      <x:c r="C3" s="16" t="inlineStr">
        <x:is>
          <x:t xml:space="preserve">long-acting injectable; viral suppression</x:t>
        </x:is>
      </x:c>
      <x:c r="D3" s="16" t="inlineStr">
        <x:is>
          <x:t xml:space="preserve">cabotegravir; rilpivirine; durable</x:t>
        </x:is>
      </x:c>
      <x:c r="E3" s="16" t="inlineStr">
        <x:is>
          <x:t xml:space="preserve">animal; preclinical</x:t>
        </x:is>
      </x:c>
      <x:c r="F3" s="16" t="inlineStr">
        <x:is>
          <x:t xml:space="preserve">Adults with HIV</x:t>
        </x:is>
      </x:c>
      <x:c r="G3" s="16" t="inlineStr">
        <x:is>
          <x:t xml:space="preserve">LAI ART</x:t>
        </x:is>
      </x:c>
      <x:c r="H3" s="16" t="inlineStr">
        <x:is>
          <x:t xml:space="preserve">Viral suppression</x:t>
        </x:is>
      </x:c>
      <x:c r="I3" s="16" t="inlineStr">
        <x:is>
          <x:t xml:space="preserve">Direct support; Partial support</x:t>
        </x:is>
      </x:c>
      <x:c r="J3" s="16" t="inlineStr">
        <x:is>
          <x:t xml:space="preserve">Abstract; Results; Conclusion</x:t>
        </x:is>
      </x:c>
      <x:c r="K3" s="16" t="n">
        <x:v>75</x:v>
      </x:c>
      <x:c r="L3" s="16" t="inlineStr">
        <x:is>
          <x:t xml:space="preserve">Candidate_Evidence</x:t>
        </x:is>
      </x:c>
      <x:c r="M3" s="16" t="inlineStr">
        <x:is>
          <x:t xml:space="preserve">If not from Results/Abstract or if subgroup only</x:t>
        </x:is>
      </x:c>
    </x:row>
    <x:row r="4" s="12" customFormat="1" ht="28.350000381469727" customHeight="1">
      <x:c r="A4" s="16" t="inlineStr">
        <x:is>
          <x:t xml:space="preserve">HIV_LAI_LAUNCH</x:t>
        </x:is>
      </x:c>
      <x:c r="B4" s="16" t="inlineStr">
        <x:is>
          <x:t xml:space="preserve">HIV_LAI_LAUNCH_ST03</x:t>
        </x:is>
      </x:c>
      <x:c r="C4" s="16" t="inlineStr">
        <x:is>
          <x:t xml:space="preserve">stable patients; adherence burden</x:t>
        </x:is>
      </x:c>
      <x:c r="D4" s="16" t="inlineStr">
        <x:is>
          <x:t xml:space="preserve">patient preference; pill burden</x:t>
        </x:is>
      </x:c>
      <x:c r="E4" s="16" t="inlineStr">
        <x:is>
          <x:t xml:space="preserve">animal; opinion only</x:t>
        </x:is>
      </x:c>
      <x:c r="F4" s="16" t="inlineStr">
        <x:is>
          <x:t xml:space="preserve">Adults with HIV</x:t>
        </x:is>
      </x:c>
      <x:c r="G4" s="16" t="inlineStr">
        <x:is>
          <x:t xml:space="preserve">LAI ART</x:t>
        </x:is>
      </x:c>
      <x:c r="H4" s="16" t="inlineStr">
        <x:is>
          <x:t xml:space="preserve">Adherence burden</x:t>
        </x:is>
      </x:c>
      <x:c r="I4" s="16" t="inlineStr">
        <x:is>
          <x:t xml:space="preserve">Direct support; Contextual support</x:t>
        </x:is>
      </x:c>
      <x:c r="J4" s="16" t="inlineStr">
        <x:is>
          <x:t xml:space="preserve">Discussion; Conclusion; Guideline recommendation</x:t>
        </x:is>
      </x:c>
      <x:c r="K4" s="16" t="n">
        <x:v>60</x:v>
      </x:c>
      <x:c r="L4" s="16" t="inlineStr">
        <x:is>
          <x:t xml:space="preserve">Candidate_Evidence</x:t>
        </x:is>
      </x:c>
      <x:c r="M4" s="16" t="inlineStr">
        <x:is>
          <x:t xml:space="preserve">If only contextual support found</x:t>
        </x:is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0" style="11" customWidth="1"/>
    <x:col min="2" max="2" width="22" style="11" customWidth="1"/>
    <x:col min="3" max="3" width="12" style="11" customWidth="1"/>
    <x:col min="4" max="4" width="50" style="11" customWidth="1"/>
    <x:col min="5" max="5" width="10" style="11" customWidth="1"/>
    <x:col min="6" max="6" width="18" style="11" customWidth="1"/>
    <x:col min="7" max="7" width="16" style="11" customWidth="1"/>
    <x:col min="8" max="8" width="12" style="11" customWidth="1"/>
    <x:col min="9" max="9" width="16" style="11" customWidth="1"/>
    <x:col min="10" max="10" width="48" style="11" customWidth="1"/>
  </x:cols>
  <x:sheetData>
    <x:row r="1" s="12" customFormat="1" ht="28.350000381469727" customHeight="1">
      <x:c r="A1" s="19" t="inlineStr">
        <x:is>
          <x:t xml:space="preserve">ProgramID</x:t>
        </x:is>
      </x:c>
      <x:c r="B1" s="19" t="inlineStr">
        <x:is>
          <x:t xml:space="preserve">StatementID</x:t>
        </x:is>
      </x:c>
      <x:c r="C1" s="19" t="inlineStr">
        <x:is>
          <x:t xml:space="preserve">PMID</x:t>
        </x:is>
      </x:c>
      <x:c r="D1" s="19" t="inlineStr">
        <x:is>
          <x:t xml:space="preserve">Title</x:t>
        </x:is>
      </x:c>
      <x:c r="E1" s="19" t="inlineStr">
        <x:is>
          <x:t xml:space="preserve">Year</x:t>
        </x:is>
      </x:c>
      <x:c r="F1" s="19" t="inlineStr">
        <x:is>
          <x:t xml:space="preserve">PublicationType</x:t>
        </x:is>
      </x:c>
      <x:c r="G1" s="19" t="inlineStr">
        <x:is>
          <x:t xml:space="preserve">HumanEvidenceFlag</x:t>
        </x:is>
      </x:c>
      <x:c r="H1" s="19" t="inlineStr">
        <x:is>
          <x:t xml:space="preserve">EvidenceTier</x:t>
        </x:is>
      </x:c>
      <x:c r="I1" s="19" t="inlineStr">
        <x:is>
          <x:t xml:space="preserve">SelectedForPDF</x:t>
        </x:is>
      </x:c>
      <x:c r="J1" s="19" t="inlineStr">
        <x:is>
          <x:t xml:space="preserve">SelectionRationale</x:t>
        </x:is>
      </x:c>
    </x:row>
    <x:row r="2" s="12" customFormat="1" ht="15" customHeight="1">
      <x:c r="A2" s="16" t="inlineStr">
        <x:is>
          <x:t xml:space="preserve">HIV_LAI_LAUNCH</x:t>
        </x:is>
      </x:c>
      <x:c r="B2" s="16" t="inlineStr">
        <x:is>
          <x:t xml:space="preserve">HIV_LAI_LAUNCH_ST01</x:t>
        </x:is>
      </x:c>
      <x:c r="C2" s="16" t="inlineStr">
        <x:is>
          <x:t xml:space="preserve">11111111</x:t>
        </x:is>
      </x:c>
      <x:c r="D2" s="16" t="inlineStr">
        <x:is>
          <x:t xml:space="preserve">Example Oral ART Adherence Study</x:t>
        </x:is>
      </x:c>
      <x:c r="E2" s="16" t="n">
        <x:v>2022</x:v>
      </x:c>
      <x:c r="F2" s="16" t="inlineStr">
        <x:is>
          <x:t xml:space="preserve">Prospective cohort</x:t>
        </x:is>
      </x:c>
      <x:c r="G2" s="16" t="inlineStr">
        <x:is>
          <x:t xml:space="preserve">Yes</x:t>
        </x:is>
      </x:c>
      <x:c r="H2" s="16" t="inlineStr">
        <x:is>
          <x:t xml:space="preserve">B</x:t>
        </x:is>
      </x:c>
      <x:c r="I2" s="16" t="inlineStr">
        <x:is>
          <x:t xml:space="preserve">Yes</x:t>
        </x:is>
      </x:c>
      <x:c r="J2" s="16" t="inlineStr">
        <x:is>
          <x:t xml:space="preserve">Directly addresses adherence and virologic rebound.</x:t>
        </x:is>
      </x:c>
    </x:row>
    <x:row r="3" s="12" customFormat="1" ht="15" customHeight="1">
      <x:c r="A3" s="16" t="inlineStr">
        <x:is>
          <x:t xml:space="preserve">HIV_LAI_LAUNCH</x:t>
        </x:is>
      </x:c>
      <x:c r="B3" s="16" t="inlineStr">
        <x:is>
          <x:t xml:space="preserve">HIV_LAI_LAUNCH_ST01</x:t>
        </x:is>
      </x:c>
      <x:c r="C3" s="16" t="inlineStr">
        <x:is>
          <x:t xml:space="preserve">11111112</x:t>
        </x:is>
      </x:c>
      <x:c r="D3" s="16" t="inlineStr">
        <x:is>
          <x:t xml:space="preserve">Example Adherence Meta-analysis</x:t>
        </x:is>
      </x:c>
      <x:c r="E3" s="16" t="n">
        <x:v>2023</x:v>
      </x:c>
      <x:c r="F3" s="16" t="inlineStr">
        <x:is>
          <x:t xml:space="preserve">Meta-analysis</x:t>
        </x:is>
      </x:c>
      <x:c r="G3" s="16" t="inlineStr">
        <x:is>
          <x:t xml:space="preserve">Yes</x:t>
        </x:is>
      </x:c>
      <x:c r="H3" s="16" t="inlineStr">
        <x:is>
          <x:t xml:space="preserve">A</x:t>
        </x:is>
      </x:c>
      <x:c r="I3" s="16" t="inlineStr">
        <x:is>
          <x:t xml:space="preserve">Yes</x:t>
        </x:is>
      </x:c>
      <x:c r="J3" s="16" t="inlineStr">
        <x:is>
          <x:t xml:space="preserve">Adds corroboration on adherence and outcomes.</x:t>
        </x:is>
      </x:c>
    </x:row>
    <x:row r="4" s="12" customFormat="1" ht="15" customHeight="1">
      <x:c r="A4" s="16" t="inlineStr">
        <x:is>
          <x:t xml:space="preserve">HIV_LAI_LAUNCH</x:t>
        </x:is>
      </x:c>
      <x:c r="B4" s="16" t="inlineStr">
        <x:is>
          <x:t xml:space="preserve">HIV_LAI_LAUNCH_ST02</x:t>
        </x:is>
      </x:c>
      <x:c r="C4" s="16" t="inlineStr">
        <x:is>
          <x:t xml:space="preserve">22222221</x:t>
        </x:is>
      </x:c>
      <x:c r="D4" s="16" t="inlineStr">
        <x:is>
          <x:t xml:space="preserve">Example LAI Viral Suppression Trial</x:t>
        </x:is>
      </x:c>
      <x:c r="E4" s="16" t="n">
        <x:v>2023</x:v>
      </x:c>
      <x:c r="F4" s="16" t="inlineStr">
        <x:is>
          <x:t xml:space="preserve">RCT</x:t>
        </x:is>
      </x:c>
      <x:c r="G4" s="16" t="inlineStr">
        <x:is>
          <x:t xml:space="preserve">Yes</x:t>
        </x:is>
      </x:c>
      <x:c r="H4" s="16" t="inlineStr">
        <x:is>
          <x:t xml:space="preserve">A</x:t>
        </x:is>
      </x:c>
      <x:c r="I4" s="16" t="inlineStr">
        <x:is>
          <x:t xml:space="preserve">Yes</x:t>
        </x:is>
      </x:c>
      <x:c r="J4" s="16" t="inlineStr">
        <x:is>
          <x:t xml:space="preserve">Direct evidence for LAI viral suppression.</x:t>
        </x:is>
      </x:c>
    </x:row>
    <x:row r="5" s="12" customFormat="1" ht="15" customHeight="1">
      <x:c r="A5" s="16" t="inlineStr">
        <x:is>
          <x:t xml:space="preserve">HIV_LAI_LAUNCH</x:t>
        </x:is>
      </x:c>
      <x:c r="B5" s="16" t="inlineStr">
        <x:is>
          <x:t xml:space="preserve">HIV_LAI_LAUNCH_ST03</x:t>
        </x:is>
      </x:c>
      <x:c r="C5" s="16" t="inlineStr">
        <x:is>
          <x:t xml:space="preserve">33333331</x:t>
        </x:is>
      </x:c>
      <x:c r="D5" s="16" t="inlineStr">
        <x:is>
          <x:t xml:space="preserve">Example LAI Implementation Review</x:t>
        </x:is>
      </x:c>
      <x:c r="E5" s="16" t="n">
        <x:v>2024</x:v>
      </x:c>
      <x:c r="F5" s="16" t="inlineStr">
        <x:is>
          <x:t xml:space="preserve">Review</x:t>
        </x:is>
      </x:c>
      <x:c r="G5" s="16" t="inlineStr">
        <x:is>
          <x:t xml:space="preserve">Yes</x:t>
        </x:is>
      </x:c>
      <x:c r="H5" s="16" t="inlineStr">
        <x:is>
          <x:t xml:space="preserve">B</x:t>
        </x:is>
      </x:c>
      <x:c r="I5" s="16" t="inlineStr">
        <x:is>
          <x:t xml:space="preserve">Yes</x:t>
        </x:is>
      </x:c>
      <x:c r="J5" s="16" t="inlineStr">
        <x:is>
          <x:t xml:space="preserve">Supports generalizability and practical relevance.</x:t>
        </x:is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2" width="20" style="11" customWidth="1"/>
    <x:col min="3" max="3" width="22" style="11" customWidth="1"/>
    <x:col min="4" max="4" width="80" style="11" customWidth="1"/>
    <x:col min="5" max="5" width="32" style="11" customWidth="1"/>
    <x:col min="6" max="6" width="10" style="11" customWidth="1"/>
    <x:col min="7" max="7" width="20" style="11" customWidth="1"/>
    <x:col min="8" max="8" width="12" style="11" customWidth="1"/>
    <x:col min="9" max="9" width="16" style="11" customWidth="1"/>
    <x:col min="10" max="12" width="18" style="11" customWidth="1"/>
    <x:col min="13" max="13" width="28" style="11" customWidth="1"/>
  </x:cols>
  <x:sheetData>
    <x:row r="1" s="12" customFormat="1" ht="28.350000381469727" customHeight="1">
      <x:c r="A1" s="19" t="inlineStr">
        <x:is>
          <x:t xml:space="preserve">ProgramID</x:t>
        </x:is>
      </x:c>
      <x:c r="B1" s="19" t="inlineStr">
        <x:is>
          <x:t xml:space="preserve">CandidateEvidenceID</x:t>
        </x:is>
      </x:c>
      <x:c r="C1" s="19" t="inlineStr">
        <x:is>
          <x:t xml:space="preserve">StatementID</x:t>
        </x:is>
      </x:c>
      <x:c r="D1" s="19" t="inlineStr">
        <x:is>
          <x:t xml:space="preserve">EvidenceQuote</x:t>
        </x:is>
      </x:c>
      <x:c r="E1" s="19" t="inlineStr">
        <x:is>
          <x:t xml:space="preserve">SourceFile</x:t>
        </x:is>
      </x:c>
      <x:c r="F1" s="19" t="inlineStr">
        <x:is>
          <x:t xml:space="preserve">PDFPage</x:t>
        </x:is>
      </x:c>
      <x:c r="G1" s="19" t="inlineStr">
        <x:is>
          <x:t xml:space="preserve">SectionType</x:t>
        </x:is>
      </x:c>
      <x:c r="H1" s="19" t="inlineStr">
        <x:is>
          <x:t xml:space="preserve">MatchScore</x:t>
        </x:is>
      </x:c>
      <x:c r="I1" s="19" t="inlineStr">
        <x:is>
          <x:t xml:space="preserve">TermCoverageScore</x:t>
        </x:is>
      </x:c>
      <x:c r="J1" s="19" t="inlineStr">
        <x:is>
          <x:t xml:space="preserve">DirectnessEstimate</x:t>
        </x:is>
      </x:c>
      <x:c r="K1" s="19" t="inlineStr">
        <x:is>
          <x:t xml:space="preserve">HedgingLanguageFlag</x:t>
        </x:is>
      </x:c>
      <x:c r="L1" s="19" t="inlineStr">
        <x:is>
          <x:t xml:space="preserve">CandidateStatus</x:t>
        </x:is>
      </x:c>
      <x:c r="M1" s="19" t="inlineStr">
        <x:is>
          <x:t xml:space="preserve">Notes</x:t>
        </x:is>
      </x:c>
    </x:row>
    <x:row r="2" s="12" customFormat="1" ht="28.350000381469727" customHeight="1">
      <x:c r="A2" s="16" t="inlineStr">
        <x:is>
          <x:t xml:space="preserve">HIV_LAI_LAUNCH</x:t>
        </x:is>
      </x:c>
      <x:c r="B2" s="16" t="inlineStr">
        <x:is>
          <x:t xml:space="preserve">CE1</x:t>
        </x:is>
      </x:c>
      <x:c r="C2" s="16" t="inlineStr">
        <x:is>
          <x:t xml:space="preserve">HIV_LAI_LAUNCH_ST01</x:t>
        </x:is>
      </x:c>
      <x:c r="D2" s="16" t="inlineStr">
        <x:is>
          <x:t xml:space="preserve">Participants with lower adherence had a higher risk of confirmed virologic rebound during follow-up.</x:t>
        </x:is>
      </x:c>
      <x:c r="E2" s="16" t="inlineStr">
        <x:is>
          <x:t xml:space="preserve">Oral_ART_Adherence_Study.pdf</x:t>
        </x:is>
      </x:c>
      <x:c r="F2" s="16" t="n">
        <x:v>6</x:v>
      </x:c>
      <x:c r="G2" s="16" t="inlineStr">
        <x:is>
          <x:t xml:space="preserve">Results</x:t>
        </x:is>
      </x:c>
      <x:c r="H2" s="16" t="n">
        <x:v>88</x:v>
      </x:c>
      <x:c r="I2" s="16" t="n">
        <x:v>85</x:v>
      </x:c>
      <x:c r="J2" s="16" t="inlineStr">
        <x:is>
          <x:t xml:space="preserve">Direct support</x:t>
        </x:is>
      </x:c>
      <x:c r="K2" s="16" t="inlineStr">
        <x:is>
          <x:t xml:space="preserve">No</x:t>
        </x:is>
      </x:c>
      <x:c r="L2" s="22" t="inlineStr">
        <x:is>
          <x:t xml:space="preserve">Good candidate</x:t>
        </x:is>
      </x:c>
      <x:c r="M2" s="16" t="inlineStr">
        <x:is>
          <x:t xml:space="preserve">High lexical match and correct section.</x:t>
        </x:is>
      </x:c>
    </x:row>
    <x:row r="3" s="12" customFormat="1" ht="28.350000381469727" customHeight="1">
      <x:c r="A3" s="16" t="inlineStr">
        <x:is>
          <x:t xml:space="preserve">HIV_LAI_LAUNCH</x:t>
        </x:is>
      </x:c>
      <x:c r="B3" s="16" t="inlineStr">
        <x:is>
          <x:t xml:space="preserve">CE2</x:t>
        </x:is>
      </x:c>
      <x:c r="C3" s="16" t="inlineStr">
        <x:is>
          <x:t xml:space="preserve">HIV_LAI_LAUNCH_ST01</x:t>
        </x:is>
      </x:c>
      <x:c r="D3" s="16" t="inlineStr">
        <x:is>
          <x:t xml:space="preserve">Across included studies, nonadherence was associated with increased odds of virologic failure or rebound.</x:t>
        </x:is>
      </x:c>
      <x:c r="E3" s="16" t="inlineStr">
        <x:is>
          <x:t xml:space="preserve">Adherence_Meta_Analysis.pdf</x:t>
        </x:is>
      </x:c>
      <x:c r="F3" s="16" t="n">
        <x:v>4</x:v>
      </x:c>
      <x:c r="G3" s="16" t="inlineStr">
        <x:is>
          <x:t xml:space="preserve">Abstract</x:t>
        </x:is>
      </x:c>
      <x:c r="H3" s="16" t="n">
        <x:v>82</x:v>
      </x:c>
      <x:c r="I3" s="16" t="n">
        <x:v>80</x:v>
      </x:c>
      <x:c r="J3" s="16" t="inlineStr">
        <x:is>
          <x:t xml:space="preserve">Direct support</x:t>
        </x:is>
      </x:c>
      <x:c r="K3" s="16" t="inlineStr">
        <x:is>
          <x:t xml:space="preserve">No</x:t>
        </x:is>
      </x:c>
      <x:c r="L3" s="22" t="inlineStr">
        <x:is>
          <x:t xml:space="preserve">Good candidate</x:t>
        </x:is>
      </x:c>
      <x:c r="M3" s="16" t="inlineStr">
        <x:is>
          <x:t xml:space="preserve">Corroborating source.</x:t>
        </x:is>
      </x:c>
    </x:row>
    <x:row r="4" s="12" customFormat="1" ht="28.350000381469727" customHeight="1">
      <x:c r="A4" s="16" t="inlineStr">
        <x:is>
          <x:t xml:space="preserve">HIV_LAI_LAUNCH</x:t>
        </x:is>
      </x:c>
      <x:c r="B4" s="16" t="inlineStr">
        <x:is>
          <x:t xml:space="preserve">CE3</x:t>
        </x:is>
      </x:c>
      <x:c r="C4" s="16" t="inlineStr">
        <x:is>
          <x:t xml:space="preserve">HIV_LAI_LAUNCH_ST02</x:t>
        </x:is>
      </x:c>
      <x:c r="D4" s="16" t="inlineStr">
        <x:is>
          <x:t xml:space="preserve">Long-acting therapy maintained viral suppression in the majority of eligible participants through week 48.</x:t>
        </x:is>
      </x:c>
      <x:c r="E4" s="16" t="inlineStr">
        <x:is>
          <x:t xml:space="preserve">LAI_Suppression_Trial.pdf</x:t>
        </x:is>
      </x:c>
      <x:c r="F4" s="16" t="n">
        <x:v>8</x:v>
      </x:c>
      <x:c r="G4" s="16" t="inlineStr">
        <x:is>
          <x:t xml:space="preserve">Abstract</x:t>
        </x:is>
      </x:c>
      <x:c r="H4" s="16" t="n">
        <x:v>91</x:v>
      </x:c>
      <x:c r="I4" s="16" t="n">
        <x:v>90</x:v>
      </x:c>
      <x:c r="J4" s="16" t="inlineStr">
        <x:is>
          <x:t xml:space="preserve">Direct support</x:t>
        </x:is>
      </x:c>
      <x:c r="K4" s="16" t="inlineStr">
        <x:is>
          <x:t xml:space="preserve">No</x:t>
        </x:is>
      </x:c>
      <x:c r="L4" s="22" t="inlineStr">
        <x:is>
          <x:t xml:space="preserve">Good candidate</x:t>
        </x:is>
      </x:c>
      <x:c r="M4" s="16" t="inlineStr">
        <x:is>
          <x:t xml:space="preserve">High confidence candidate.</x:t>
        </x:is>
      </x:c>
    </x:row>
    <x:row r="5" s="12" customFormat="1" ht="28.350000381469727" customHeight="1">
      <x:c r="A5" s="16" t="inlineStr">
        <x:is>
          <x:t xml:space="preserve">HIV_LAI_LAUNCH</x:t>
        </x:is>
      </x:c>
      <x:c r="B5" s="16" t="inlineStr">
        <x:is>
          <x:t xml:space="preserve">CE4</x:t>
        </x:is>
      </x:c>
      <x:c r="C5" s="16" t="inlineStr">
        <x:is>
          <x:t xml:space="preserve">HIV_LAI_LAUNCH_ST03</x:t>
        </x:is>
      </x:c>
      <x:c r="D5" s="16" t="inlineStr">
        <x:is>
          <x:t xml:space="preserve">Stable patients may benefit from reduced daily pill burden when considering long-acting options.</x:t>
        </x:is>
      </x:c>
      <x:c r="E5" s="16" t="inlineStr">
        <x:is>
          <x:t xml:space="preserve">LAI_Implementation_Review.pdf</x:t>
        </x:is>
      </x:c>
      <x:c r="F5" s="16" t="n">
        <x:v>11</x:v>
      </x:c>
      <x:c r="G5" s="16" t="inlineStr">
        <x:is>
          <x:t xml:space="preserve">Discussion</x:t>
        </x:is>
      </x:c>
      <x:c r="H5" s="16" t="n">
        <x:v>67</x:v>
      </x:c>
      <x:c r="I5" s="16" t="n">
        <x:v>61</x:v>
      </x:c>
      <x:c r="J5" s="16" t="inlineStr">
        <x:is>
          <x:t xml:space="preserve">Contextual support</x:t>
        </x:is>
      </x:c>
      <x:c r="K5" s="16" t="inlineStr">
        <x:is>
          <x:t xml:space="preserve">Yes</x:t>
        </x:is>
      </x:c>
      <x:c r="L5" s="23" t="inlineStr">
        <x:is>
          <x:t xml:space="preserve">Needs review</x:t>
        </x:is>
      </x:c>
      <x:c r="M5" s="16" t="inlineStr">
        <x:is>
          <x:t xml:space="preserve">Useful but hedged contextual language.</x:t>
        </x:is>
      </x:c>
    </x:row>
    <x:row r="6" s="12" customFormat="1" ht="28.350000381469727" customHeight="1">
      <x:c r="A6" s="16" t="inlineStr">
        <x:is>
          <x:t xml:space="preserve">HIV_LAI_LAUNCH</x:t>
        </x:is>
      </x:c>
      <x:c r="B6" s="16" t="inlineStr">
        <x:is>
          <x:t xml:space="preserve">CE5</x:t>
        </x:is>
      </x:c>
      <x:c r="C6" s="16" t="inlineStr">
        <x:is>
          <x:t xml:space="preserve">HIV_LAI_LAUNCH_ST02</x:t>
        </x:is>
      </x:c>
      <x:c r="D6" s="16" t="inlineStr">
        <x:is>
          <x:t xml:space="preserve">Possible benefit was observed in exploratory analyses.</x:t>
        </x:is>
      </x:c>
      <x:c r="E6" s="16" t="inlineStr">
        <x:is>
          <x:t xml:space="preserve">Small_LAI_Review.pdf</x:t>
        </x:is>
      </x:c>
      <x:c r="F6" s="16" t="n">
        <x:v>4</x:v>
      </x:c>
      <x:c r="G6" s="16" t="inlineStr">
        <x:is>
          <x:t xml:space="preserve">Discussion</x:t>
        </x:is>
      </x:c>
      <x:c r="H6" s="16" t="n">
        <x:v>52</x:v>
      </x:c>
      <x:c r="I6" s="16" t="n">
        <x:v>50</x:v>
      </x:c>
      <x:c r="J6" s="16" t="inlineStr">
        <x:is>
          <x:t xml:space="preserve">Partial support</x:t>
        </x:is>
      </x:c>
      <x:c r="K6" s="16" t="inlineStr">
        <x:is>
          <x:t xml:space="preserve">Yes</x:t>
        </x:is>
      </x:c>
      <x:c r="L6" s="24" t="inlineStr">
        <x:is>
          <x:t xml:space="preserve">Reject</x:t>
        </x:is>
      </x:c>
      <x:c r="M6" s="16" t="inlineStr">
        <x:is>
          <x:t xml:space="preserve">Low score plus hedging language.</x:t>
        </x:is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0" style="11" customWidth="1"/>
    <x:col min="2" max="2" width="18" style="11" customWidth="1"/>
    <x:col min="3" max="3" width="20" style="11" customWidth="1"/>
    <x:col min="4" max="4" width="22" style="11" customWidth="1"/>
    <x:col min="5" max="5" width="40" style="11" customWidth="1"/>
    <x:col min="6" max="7" width="18" style="11" customWidth="1"/>
    <x:col min="8" max="8" width="14" style="11" customWidth="1"/>
    <x:col min="9" max="9" width="42" style="11" customWidth="1"/>
  </x:cols>
  <x:sheetData>
    <x:row r="1" s="12" customFormat="1" ht="28.350000381469727" customHeight="1">
      <x:c r="A1" s="19" t="inlineStr">
        <x:is>
          <x:t xml:space="preserve">ProgramID</x:t>
        </x:is>
      </x:c>
      <x:c r="B1" s="19" t="inlineStr">
        <x:is>
          <x:t xml:space="preserve">ValidationLogID</x:t>
        </x:is>
      </x:c>
      <x:c r="C1" s="19" t="inlineStr">
        <x:is>
          <x:t xml:space="preserve">CandidateEvidenceID</x:t>
        </x:is>
      </x:c>
      <x:c r="D1" s="19" t="inlineStr">
        <x:is>
          <x:t xml:space="preserve">StatementID</x:t>
        </x:is>
      </x:c>
      <x:c r="E1" s="19" t="inlineStr">
        <x:is>
          <x:t xml:space="preserve">RuleCheckSummary</x:t>
        </x:is>
      </x:c>
      <x:c r="F1" s="19" t="inlineStr">
        <x:is>
          <x:t xml:space="preserve">Decision</x:t>
        </x:is>
      </x:c>
      <x:c r="G1" s="19" t="inlineStr">
        <x:is>
          <x:t xml:space="preserve">Reviewer</x:t>
        </x:is>
      </x:c>
      <x:c r="H1" s="19" t="inlineStr">
        <x:is>
          <x:t xml:space="preserve">ReviewedDate</x:t>
        </x:is>
      </x:c>
      <x:c r="I1" s="19" t="inlineStr">
        <x:is>
          <x:t xml:space="preserve">Reason</x:t>
        </x:is>
      </x:c>
    </x:row>
    <x:row r="2" s="12" customFormat="1" ht="28.350000381469727" customHeight="1">
      <x:c r="A2" s="16" t="inlineStr">
        <x:is>
          <x:t xml:space="preserve">HIV_LAI_LAUNCH</x:t>
        </x:is>
      </x:c>
      <x:c r="B2" s="16" t="inlineStr">
        <x:is>
          <x:t xml:space="preserve">VL1</x:t>
        </x:is>
      </x:c>
      <x:c r="C2" s="16" t="inlineStr">
        <x:is>
          <x:t xml:space="preserve">CE1</x:t>
        </x:is>
      </x:c>
      <x:c r="D2" s="16" t="inlineStr">
        <x:is>
          <x:t xml:space="preserve">HIV_LAI_LAUNCH_ST01</x:t>
        </x:is>
      </x:c>
      <x:c r="E2" s="16" t="inlineStr">
        <x:is>
          <x:t xml:space="preserve">Page present; score above threshold; direct support; results section</x:t>
        </x:is>
      </x:c>
      <x:c r="F2" s="22" t="inlineStr">
        <x:is>
          <x:t xml:space="preserve">Accept</x:t>
        </x:is>
      </x:c>
      <x:c r="G2" s="16" t="inlineStr">
        <x:is>
          <x:t xml:space="preserve">Medical reviewer</x:t>
        </x:is>
      </x:c>
      <x:c r="H2" s="16" t="inlineStr">
        <x:is>
          <x:t xml:space="preserve">03-13-2026</x:t>
        </x:is>
      </x:c>
      <x:c r="I2" s="16" t="inlineStr">
        <x:is>
          <x:t xml:space="preserve">Meets rule set.</x:t>
        </x:is>
      </x:c>
    </x:row>
    <x:row r="3" s="12" customFormat="1" ht="28.350000381469727" customHeight="1">
      <x:c r="A3" s="16" t="inlineStr">
        <x:is>
          <x:t xml:space="preserve">HIV_LAI_LAUNCH</x:t>
        </x:is>
      </x:c>
      <x:c r="B3" s="16" t="inlineStr">
        <x:is>
          <x:t xml:space="preserve">VL2</x:t>
        </x:is>
      </x:c>
      <x:c r="C3" s="16" t="inlineStr">
        <x:is>
          <x:t xml:space="preserve">CE2</x:t>
        </x:is>
      </x:c>
      <x:c r="D3" s="16" t="inlineStr">
        <x:is>
          <x:t xml:space="preserve">HIV_LAI_LAUNCH_ST01</x:t>
        </x:is>
      </x:c>
      <x:c r="E3" s="16" t="inlineStr">
        <x:is>
          <x:t xml:space="preserve">Page present; score above threshold; corroborative direct support</x:t>
        </x:is>
      </x:c>
      <x:c r="F3" s="22" t="inlineStr">
        <x:is>
          <x:t xml:space="preserve">Accept</x:t>
        </x:is>
      </x:c>
      <x:c r="G3" s="16" t="inlineStr">
        <x:is>
          <x:t xml:space="preserve">Medical reviewer</x:t>
        </x:is>
      </x:c>
      <x:c r="H3" s="16" t="inlineStr">
        <x:is>
          <x:t xml:space="preserve">03-13-2026</x:t>
        </x:is>
      </x:c>
      <x:c r="I3" s="16" t="inlineStr">
        <x:is>
          <x:t xml:space="preserve">Meets rule set.</x:t>
        </x:is>
      </x:c>
    </x:row>
    <x:row r="4" s="12" customFormat="1" ht="28.350000381469727" customHeight="1">
      <x:c r="A4" s="16" t="inlineStr">
        <x:is>
          <x:t xml:space="preserve">HIV_LAI_LAUNCH</x:t>
        </x:is>
      </x:c>
      <x:c r="B4" s="16" t="inlineStr">
        <x:is>
          <x:t xml:space="preserve">VL3</x:t>
        </x:is>
      </x:c>
      <x:c r="C4" s="16" t="inlineStr">
        <x:is>
          <x:t xml:space="preserve">CE3</x:t>
        </x:is>
      </x:c>
      <x:c r="D4" s="16" t="inlineStr">
        <x:is>
          <x:t xml:space="preserve">HIV_LAI_LAUNCH_ST02</x:t>
        </x:is>
      </x:c>
      <x:c r="E4" s="16" t="inlineStr">
        <x:is>
          <x:t xml:space="preserve">Page present; score above threshold; direct support</x:t>
        </x:is>
      </x:c>
      <x:c r="F4" s="22" t="inlineStr">
        <x:is>
          <x:t xml:space="preserve">Accept</x:t>
        </x:is>
      </x:c>
      <x:c r="G4" s="16" t="inlineStr">
        <x:is>
          <x:t xml:space="preserve">Medical reviewer</x:t>
        </x:is>
      </x:c>
      <x:c r="H4" s="16" t="inlineStr">
        <x:is>
          <x:t xml:space="preserve">03-13-2026</x:t>
        </x:is>
      </x:c>
      <x:c r="I4" s="16" t="inlineStr">
        <x:is>
          <x:t xml:space="preserve">Meets rule set.</x:t>
        </x:is>
      </x:c>
    </x:row>
    <x:row r="5" s="12" customFormat="1" ht="28.350000381469727" customHeight="1">
      <x:c r="A5" s="16" t="inlineStr">
        <x:is>
          <x:t xml:space="preserve">HIV_LAI_LAUNCH</x:t>
        </x:is>
      </x:c>
      <x:c r="B5" s="16" t="inlineStr">
        <x:is>
          <x:t xml:space="preserve">VL4</x:t>
        </x:is>
      </x:c>
      <x:c r="C5" s="16" t="inlineStr">
        <x:is>
          <x:t xml:space="preserve">CE4</x:t>
        </x:is>
      </x:c>
      <x:c r="D5" s="16" t="inlineStr">
        <x:is>
          <x:t xml:space="preserve">HIV_LAI_LAUNCH_ST03</x:t>
        </x:is>
      </x:c>
      <x:c r="E5" s="16" t="inlineStr">
        <x:is>
          <x:t xml:space="preserve">Above threshold but discussion-only and hedging present</x:t>
        </x:is>
      </x:c>
      <x:c r="F5" s="23" t="inlineStr">
        <x:is>
          <x:t xml:space="preserve">Review</x:t>
        </x:is>
      </x:c>
      <x:c r="G5" s="16" t="inlineStr">
        <x:is>
          <x:t xml:space="preserve">Medical reviewer</x:t>
        </x:is>
      </x:c>
      <x:c r="H5" s="16" t="inlineStr">
        <x:is>
          <x:t xml:space="preserve">03-13-2026</x:t>
        </x:is>
      </x:c>
      <x:c r="I5" s="16" t="inlineStr">
        <x:is>
          <x:t xml:space="preserve">Needs manual contextual decision.</x:t>
        </x:is>
      </x:c>
    </x:row>
    <x:row r="6" s="12" customFormat="1" ht="15" customHeight="1">
      <x:c r="A6" s="16" t="inlineStr">
        <x:is>
          <x:t xml:space="preserve">HIV_LAI_LAUNCH</x:t>
        </x:is>
      </x:c>
      <x:c r="B6" s="16" t="inlineStr">
        <x:is>
          <x:t xml:space="preserve">VL5</x:t>
        </x:is>
      </x:c>
      <x:c r="C6" s="16" t="inlineStr">
        <x:is>
          <x:t xml:space="preserve">CE5</x:t>
        </x:is>
      </x:c>
      <x:c r="D6" s="16" t="inlineStr">
        <x:is>
          <x:t xml:space="preserve">HIV_LAI_LAUNCH_ST02</x:t>
        </x:is>
      </x:c>
      <x:c r="E6" s="16" t="inlineStr">
        <x:is>
          <x:t xml:space="preserve">Below threshold and hedging present</x:t>
        </x:is>
      </x:c>
      <x:c r="F6" s="24" t="inlineStr">
        <x:is>
          <x:t xml:space="preserve">Reject</x:t>
        </x:is>
      </x:c>
      <x:c r="G6" s="16" t="inlineStr">
        <x:is>
          <x:t xml:space="preserve">Medical reviewer</x:t>
        </x:is>
      </x:c>
      <x:c r="H6" s="16" t="inlineStr">
        <x:is>
          <x:t xml:space="preserve">03-13-2026</x:t>
        </x:is>
      </x:c>
      <x:c r="I6" s="16" t="inlineStr">
        <x:is>
          <x:t xml:space="preserve">Fails scoring and rejection rules.</x:t>
        </x:is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0" style="11" customWidth="1"/>
    <x:col min="2" max="2" width="22" style="11" customWidth="1"/>
    <x:col min="3" max="3" width="16" style="11" customWidth="1"/>
    <x:col min="4" max="4" width="18" style="11" customWidth="1"/>
    <x:col min="5" max="5" width="22" style="11" customWidth="1"/>
    <x:col min="6" max="6" width="18" style="11" customWidth="1"/>
    <x:col min="7" max="7" width="16" style="11" customWidth="1"/>
    <x:col min="8" max="8" width="18" style="11" customWidth="1"/>
    <x:col min="9" max="9" width="40" style="11" customWidth="1"/>
  </x:cols>
  <x:sheetData>
    <x:row r="1" s="12" customFormat="1" ht="28.350000381469727" customHeight="1">
      <x:c r="A1" s="19" t="inlineStr">
        <x:is>
          <x:t xml:space="preserve">ProgramID</x:t>
        </x:is>
      </x:c>
      <x:c r="B1" s="19" t="inlineStr">
        <x:is>
          <x:t xml:space="preserve">StatementID</x:t>
        </x:is>
      </x:c>
      <x:c r="C1" s="19" t="inlineStr">
        <x:is>
          <x:t xml:space="preserve">CandidateCount</x:t>
        </x:is>
      </x:c>
      <x:c r="D1" s="19" t="inlineStr">
        <x:is>
          <x:t xml:space="preserve">AcceptedEvidenceCount</x:t>
        </x:is>
      </x:c>
      <x:c r="E1" s="19" t="inlineStr">
        <x:is>
          <x:t xml:space="preserve">MinimumSourcesRequired</x:t>
        </x:is>
      </x:c>
      <x:c r="F1" s="19" t="inlineStr">
        <x:is>
          <x:t xml:space="preserve">ValidationStatus</x:t>
        </x:is>
      </x:c>
      <x:c r="G1" s="19" t="inlineStr">
        <x:is>
          <x:t xml:space="preserve">SupportLevel</x:t>
        </x:is>
      </x:c>
      <x:c r="H1" s="19" t="inlineStr">
        <x:is>
          <x:t xml:space="preserve">EvidenceGapFlag</x:t>
        </x:is>
      </x:c>
      <x:c r="I1" s="19" t="inlineStr">
        <x:is>
          <x:t xml:space="preserve">SummaryNotes</x:t>
        </x:is>
      </x:c>
    </x:row>
    <x:row r="2" s="12" customFormat="1" ht="28.350000381469727" customHeight="1">
      <x:c r="A2" s="16" t="inlineStr">
        <x:is>
          <x:t xml:space="preserve">HIV_LAI_LAUNCH</x:t>
        </x:is>
      </x:c>
      <x:c r="B2" s="16" t="inlineStr">
        <x:is>
          <x:t xml:space="preserve">HIV_LAI_LAUNCH_ST01</x:t>
        </x:is>
      </x:c>
      <x:c r="C2" s="16" t="n">
        <x:f>COUNTIF(Candidate_Evidence!$C:$C,$B2)</x:f>
        <x:v>2</x:v>
      </x:c>
      <x:c r="D2" s="16" t="n">
        <x:f>COUNTIFS(Validation_Log!$D:$D,$B2,Validation_Log!$F:$F,"Accept")</x:f>
        <x:v>2</x:v>
      </x:c>
      <x:c r="E2" s="16" t="n">
        <x:f>VLOOKUP(INDEX(Belief_to_Statement_Engine!$L:$L,MATCH($B2,Belief_to_Statement_Engine!$J:$J,0)),Evidence_Rule_Lookup!$A:$C,3,FALSE())</x:f>
        <x:v>2</x:v>
      </x:c>
      <x:c r="F2" s="16" t="str">
        <x:f>IF(D2&gt;=E2,"Pass","Review")</x:f>
        <x:v>Pass</x:v>
      </x:c>
      <x:c r="G2" s="16" t="str">
        <x:f>IF(D2&gt;=E2,"Strong",IF(D2&gt;0,"Directional","Insufficient"))</x:f>
        <x:v>Strong</x:v>
      </x:c>
      <x:c r="H2" s="16" t="str">
        <x:f>IF(D2&gt;=E2,"No","Yes")</x:f>
        <x:v>No</x:v>
      </x:c>
      <x:c r="I2" s="16" t="inlineStr">
        <x:is>
          <x:t xml:space="preserve">Statement-level summary driven by Validation_Log and rule lookup.</x:t>
        </x:is>
      </x:c>
    </x:row>
    <x:row r="3" s="12" customFormat="1" ht="28.350000381469727" customHeight="1">
      <x:c r="A3" s="16" t="inlineStr">
        <x:is>
          <x:t xml:space="preserve">HIV_LAI_LAUNCH</x:t>
        </x:is>
      </x:c>
      <x:c r="B3" s="16" t="inlineStr">
        <x:is>
          <x:t xml:space="preserve">HIV_LAI_LAUNCH_ST02</x:t>
        </x:is>
      </x:c>
      <x:c r="C3" s="16" t="n">
        <x:f>COUNTIF(Candidate_Evidence!$C:$C,$B3)</x:f>
        <x:v>2</x:v>
      </x:c>
      <x:c r="D3" s="16" t="n">
        <x:f>COUNTIFS(Validation_Log!$D:$D,$B3,Validation_Log!$F:$F,"Accept")</x:f>
        <x:v>1</x:v>
      </x:c>
      <x:c r="E3" s="16" t="n">
        <x:f>VLOOKUP(INDEX(Belief_to_Statement_Engine!$L:$L,MATCH($B3,Belief_to_Statement_Engine!$J:$J,0)),Evidence_Rule_Lookup!$A:$C,3,FALSE())</x:f>
        <x:v>2</x:v>
      </x:c>
      <x:c r="F3" s="16" t="str">
        <x:f>IF(D3&gt;=E3,"Pass","Review")</x:f>
        <x:v>Review</x:v>
      </x:c>
      <x:c r="G3" s="16" t="str">
        <x:f>IF(D3&gt;=E3,"Strong",IF(D3&gt;0,"Directional","Insufficient"))</x:f>
        <x:v>Directional</x:v>
      </x:c>
      <x:c r="H3" s="16" t="str">
        <x:f>IF(D3&gt;=E3,"No","Yes")</x:f>
        <x:v>Yes</x:v>
      </x:c>
      <x:c r="I3" s="16" t="inlineStr">
        <x:is>
          <x:t xml:space="preserve">Statement-level summary driven by Validation_Log and rule lookup.</x:t>
        </x:is>
      </x:c>
    </x:row>
    <x:row r="4" s="12" customFormat="1" ht="28.350000381469727" customHeight="1">
      <x:c r="A4" s="16" t="inlineStr">
        <x:is>
          <x:t xml:space="preserve">HIV_LAI_LAUNCH</x:t>
        </x:is>
      </x:c>
      <x:c r="B4" s="16" t="inlineStr">
        <x:is>
          <x:t xml:space="preserve">HIV_LAI_LAUNCH_ST03</x:t>
        </x:is>
      </x:c>
      <x:c r="C4" s="16" t="n">
        <x:f>COUNTIF(Candidate_Evidence!$C:$C,$B4)</x:f>
        <x:v>1</x:v>
      </x:c>
      <x:c r="D4" s="16" t="n">
        <x:f>COUNTIFS(Validation_Log!$D:$D,$B4,Validation_Log!$F:$F,"Accept")</x:f>
        <x:v>0</x:v>
      </x:c>
      <x:c r="E4" s="16" t="n">
        <x:f>VLOOKUP(INDEX(Belief_to_Statement_Engine!$L:$L,MATCH($B4,Belief_to_Statement_Engine!$J:$J,0)),Evidence_Rule_Lookup!$A:$C,3,FALSE())</x:f>
        <x:v>2</x:v>
      </x:c>
      <x:c r="F4" s="16" t="str">
        <x:f>IF(D4&gt;=E4,"Pass","Review")</x:f>
        <x:v>Review</x:v>
      </x:c>
      <x:c r="G4" s="16" t="str">
        <x:f>IF(D4&gt;=E4,"Strong",IF(D4&gt;0,"Directional","Insufficient"))</x:f>
        <x:v>Insufficient</x:v>
      </x:c>
      <x:c r="H4" s="16" t="str">
        <x:f>IF(D4&gt;=E4,"No","Yes")</x:f>
        <x:v>Yes</x:v>
      </x:c>
      <x:c r="I4" s="16" t="inlineStr">
        <x:is>
          <x:t xml:space="preserve">Statement-level summary driven by Validation_Log and rule lookup.</x:t>
        </x:is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8" style="11" hidden="0" customWidth="1"/>
    <x:col min="2" max="2" width="12" style="11" hidden="0" customWidth="1"/>
    <x:col min="3" max="3" width="22" style="11" hidden="0" customWidth="1"/>
    <x:col min="4" max="4" width="12" style="11" hidden="0" customWidth="1"/>
    <x:col min="5" max="5" width="24" style="11" hidden="0" customWidth="1"/>
    <x:col min="6" max="6" width="14" style="11" hidden="0" customWidth="1"/>
    <x:col min="7" max="7" width="54" style="11" hidden="0" customWidth="1"/>
    <x:col min="8" max="8" width="18" style="11" hidden="0" customWidth="1"/>
    <x:col min="9" max="9" width="16" style="11" hidden="0" customWidth="1"/>
    <x:col min="10" max="10" width="16" style="11" hidden="0" customWidth="1"/>
    <x:col min="11" max="12" width="14" style="11" customWidth="1"/>
    <x:col min="12" max="12" width="14" style="12" hidden="0" customWidth="1"/>
    <x:col min="13" max="13" width="12" style="11" hidden="0" customWidth="1"/>
    <x:col min="14" max="14" width="28" style="12" hidden="0" customWidth="1"/>
    <x:col min="11" max="11" width="16" hidden="0" customWidth="1"/>
    <x:col min="15" max="15" width="22" hidden="0" customWidth="1"/>
  </x:cols>
  <x:sheetData>
    <x:row r="1" s="12" customFormat="1" ht="34.1796875" hidden="0" customHeight="1">
      <x:c r="A1" s="177" t="str">
        <x:v>Evidence Register</x:v>
      </x:c>
      <x:c r="B1" s="21"/>
      <x:c r="C1" s="21"/>
      <x:c r="D1" s="13"/>
      <x:c r="E1" s="21"/>
      <x:c r="F1" s="21"/>
      <x:c r="G1" s="21"/>
      <x:c r="H1" s="21"/>
      <x:c r="I1" s="21"/>
      <x:c r="J1" s="21"/>
      <x:c r="K1" s="21"/>
      <x:c r="L1" s="21"/>
      <x:c r="M1" s="21"/>
      <x:c r="N1" s="21"/>
    </x:row>
    <x:row r="2" s="12" customFormat="1" ht="170.8984375" hidden="0" customHeight="1">
      <x:c r="A2" s="155" t="str">
        <x:v>Capture direct verbatims or structured evidence supporting or challenging each statement. Include URL/source where available.</x:v>
      </x:c>
      <x:c r="B2" s="16"/>
      <x:c r="C2" s="16"/>
      <x:c r="D2"/>
      <x:c r="E2" s="16"/>
      <x:c r="F2" s="16"/>
      <x:c r="G2" s="16"/>
      <x:c r="H2" s="16"/>
      <x:c r="I2" s="16"/>
      <x:c r="J2" s="16"/>
      <x:c r="K2" s="16"/>
      <x:c r="L2" s="16"/>
      <x:c r="M2" s="16"/>
      <x:c r="N2" s="16"/>
    </x:row>
    <x:row r="3" s="12" customFormat="1" ht="17.08984375" hidden="0" customHeight="1">
      <x:c r="A3" s="16"/>
      <x:c r="B3" s="16"/>
      <x:c r="C3" s="16"/>
      <x:c r="D3"/>
      <x:c r="E3" s="16"/>
      <x:c r="F3" s="16"/>
      <x:c r="G3" s="16"/>
      <x:c r="H3" s="16"/>
      <x:c r="I3" s="16"/>
      <x:c r="J3" s="16"/>
      <x:c r="K3" s="16"/>
      <x:c r="L3" s="16"/>
      <x:c r="M3" s="16"/>
      <x:c r="N3" s="16"/>
    </x:row>
    <x:row r="4" s="12" customFormat="1" ht="34.1796875" hidden="0" customHeight="1">
      <x:c r="A4" s="184" t="str">
        <x:v>ProgramID</x:v>
      </x:c>
      <x:c r="B4" s="185" t="str">
        <x:v>BridgeID</x:v>
      </x:c>
      <x:c r="C4" s="185" t="str">
        <x:v>StatementID</x:v>
      </x:c>
      <x:c r="D4" s="159" t="str">
        <x:v>EvidenceID</x:v>
      </x:c>
      <x:c r="E4" s="185" t="str">
        <x:v>SourceFile</x:v>
      </x:c>
      <x:c r="F4" s="185" t="str">
        <x:v>SourceType</x:v>
      </x:c>
      <x:c r="G4" s="185" t="str">
        <x:v>EvidenceQuote</x:v>
      </x:c>
      <x:c r="H4" s="185" t="str">
        <x:v>EndpointOrFinding</x:v>
      </x:c>
      <x:c r="I4" s="185" t="str">
        <x:v>StatisticalStatus</x:v>
      </x:c>
      <x:c r="J4" s="185" t="str">
        <x:v>EffectSize</x:v>
      </x:c>
      <x:c r="K4" s="185" t="str">
        <x:v>ClaimSupportLevel</x:v>
      </x:c>
      <x:c r="L4" s="185" t="str">
        <x:v>DominanceClass</x:v>
      </x:c>
      <x:c r="M4" s="185" t="str">
        <x:v>Confidence</x:v>
      </x:c>
      <x:c r="N4" s="185" t="str">
        <x:v>Notes</x:v>
      </x:c>
      <x:c r="O4" s="128" t="str">
        <x:v>SourceURL</x:v>
      </x:c>
    </x:row>
    <x:row r="5" ht="51.26953125" hidden="0" customHeight="1">
      <x:c r="A5" s="143" t="str">
        <x:v>HIV_LAI_LAUNCH</x:v>
      </x:c>
      <x:c r="B5" s="164" t="str">
        <x:v>BR01</x:v>
      </x:c>
      <x:c r="C5" s="164" t="str">
        <x:v>HIV_LAI_LAUNCH_ST01</x:v>
      </x:c>
      <x:c r="D5" s="164" t="str">
        <x:v>EV01</x:v>
      </x:c>
      <x:c r="E5" s="164" t="str">
        <x:v>Oral_ART_Adherence_Study.pdf</x:v>
      </x:c>
      <x:c r="F5" s="164" t="str">
        <x:v>Clinical study</x:v>
      </x:c>
      <x:c r="G5" s="164" t="str">
        <x:v>Participants with lower adherence had a higher risk of confirmed virologic rebound during follow-up.</x:v>
      </x:c>
      <x:c r="H5" s="164" t="str">
        <x:v>Virologic rebound risk</x:v>
      </x:c>
      <x:c r="I5" s="164" t="str">
        <x:v>Significant</x:v>
      </x:c>
      <x:c r="J5" s="164" t="str">
        <x:v>Elevated risk</x:v>
      </x:c>
      <x:c r="K5" s="164" t="str">
        <x:v>Direct support</x:v>
      </x:c>
      <x:c r="L5" s="164" t="str">
        <x:v>Supporting</x:v>
      </x:c>
      <x:c r="M5" s="164" t="str">
        <x:v>High</x:v>
      </x:c>
      <x:c r="N5" s="164" t="str">
        <x:v>Use to support adherence-vulnerability bridge.</x:v>
      </x:c>
      <x:c r="O5" s="144" t="str"/>
    </x:row>
    <x:row r="6" ht="51.26953125" hidden="0" customHeight="1">
      <x:c r="A6" s="145" t="str">
        <x:v>HIV_LAI_LAUNCH</x:v>
      </x:c>
      <x:c r="B6" s="173" t="str">
        <x:v>BR02</x:v>
      </x:c>
      <x:c r="C6" s="173" t="str">
        <x:v>HIV_LAI_LAUNCH_ST02</x:v>
      </x:c>
      <x:c r="D6" s="173" t="str">
        <x:v>EV02</x:v>
      </x:c>
      <x:c r="E6" s="173" t="str">
        <x:v>LAI_Suppression_Trial.pdf</x:v>
      </x:c>
      <x:c r="F6" s="173" t="str">
        <x:v>Clinical trial</x:v>
      </x:c>
      <x:c r="G6" s="173" t="str">
        <x:v>Long-acting therapy maintained viral suppression in the majority of eligible participants through week 48.</x:v>
      </x:c>
      <x:c r="H6" s="173" t="str">
        <x:v>Durable suppression</x:v>
      </x:c>
      <x:c r="I6" s="173" t="str">
        <x:v>Significant</x:v>
      </x:c>
      <x:c r="J6" s="173" t="str">
        <x:v>Majority sustained</x:v>
      </x:c>
      <x:c r="K6" s="173" t="str">
        <x:v>Direct support</x:v>
      </x:c>
      <x:c r="L6" s="173" t="str">
        <x:v>Dominant</x:v>
      </x:c>
      <x:c r="M6" s="173" t="str">
        <x:v>High</x:v>
      </x:c>
      <x:c r="N6" s="173" t="str">
        <x:v>Anchor evidence for durable benefit statement.</x:v>
      </x:c>
      <x:c r="O6" s="146" t="str"/>
    </x:row>
    <x:row r="7" ht="51.26953125" hidden="0" customHeight="1">
      <x:c r="A7" s="145" t="str">
        <x:v>HIV_LAI_LAUNCH</x:v>
      </x:c>
      <x:c r="B7" s="173" t="str">
        <x:v>BR03</x:v>
      </x:c>
      <x:c r="C7" s="173" t="str">
        <x:v>HIV_LAI_LAUNCH_ST03</x:v>
      </x:c>
      <x:c r="D7" s="173" t="str">
        <x:v>EV03</x:v>
      </x:c>
      <x:c r="E7" s="173" t="str">
        <x:v>MR_Notes.docx</x:v>
      </x:c>
      <x:c r="F7" s="173" t="str">
        <x:v>Field insight</x:v>
      </x:c>
      <x:c r="G7" s="173" t="str">
        <x:v>Clinicians worry about missed injections and workflow burden despite seeing adherence benefits.</x:v>
      </x:c>
      <x:c r="H7" s="173" t="str">
        <x:v>Operational objection</x:v>
      </x:c>
      <x:c r="I7" s="173" t="str">
        <x:v>Directional</x:v>
      </x:c>
      <x:c r="J7" s="173" t="str">
        <x:v>N/A</x:v>
      </x:c>
      <x:c r="K7" s="173" t="str">
        <x:v>Behavioral support</x:v>
      </x:c>
      <x:c r="L7" s="173" t="str">
        <x:v>Supporting</x:v>
      </x:c>
      <x:c r="M7" s="173" t="str">
        <x:v>Moderate</x:v>
      </x:c>
      <x:c r="N7" s="173" t="str">
        <x:v>Feeds BAOS objections and mitigation planning.</x:v>
      </x:c>
      <x:c r="O7" s="146" t="str"/>
    </x:row>
    <x:row r="8" ht="17.08984375" hidden="0" customHeight="1">
      <x:c r="A8" s="147" t="str"/>
      <x:c r="B8" s="165" t="str"/>
      <x:c r="C8" s="165" t="str"/>
      <x:c r="D8" s="165" t="str"/>
      <x:c r="E8" s="165" t="str"/>
      <x:c r="F8" s="165" t="str"/>
      <x:c r="G8" s="165" t="str"/>
      <x:c r="H8" s="165" t="str"/>
      <x:c r="I8" s="165" t="str"/>
      <x:c r="J8" s="165" t="str"/>
      <x:c r="K8" s="165" t="str"/>
      <x:c r="L8" s="165" t="str"/>
      <x:c r="M8" s="165" t="str"/>
      <x:c r="N8" s="165" t="str"/>
      <x:c r="O8" s="148" t="str"/>
    </x:row>
  </x:sheetData>
  <x:mergeCells>
    <x:mergeCell ref="A1:O1"/>
    <x:mergeCell ref="A2:O2"/>
  </x:mergeCells>
  <x:dataValidations count="4">
    <x:dataValidation type="list" sqref="I5:I200">
      <x:formula1>"Significant,Not significant,Directional,Mixed"</x:formula1>
    </x:dataValidation>
    <x:dataValidation type="list" sqref="K5:K200">
      <x:formula1>"Direct support,Partial support,Contradictory,Behavioral support"</x:formula1>
    </x:dataValidation>
    <x:dataValidation type="list" sqref="L5:L200">
      <x:formula1>"Dominant,Supporting,Neutral,Contradictory"</x:formula1>
    </x:dataValidation>
    <x:dataValidation type="list" sqref="M5:M200">
      <x:formula1>"High,Moderate,Low"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303103055344743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4" style="11" customWidth="1"/>
    <x:col min="2" max="2" width="16" style="11" customWidth="1"/>
    <x:col min="3" max="3" width="14" style="11" customWidth="1"/>
    <x:col min="4" max="4" width="22" style="11" customWidth="1"/>
    <x:col min="5" max="5" width="14" style="11" customWidth="1"/>
    <x:col min="6" max="6" width="16" style="11" customWidth="1"/>
    <x:col min="7" max="7" width="14" style="11" customWidth="1"/>
    <x:col min="8" max="8" width="15" style="11" customWidth="1"/>
    <x:col min="9" max="9" width="14" style="11" customWidth="1"/>
    <x:col min="10" max="10" width="21" style="12" customWidth="1"/>
  </x:cols>
  <x:sheetData>
    <x:row r="1" s="12" customFormat="1" ht="15" customHeight="1">
      <x:c r="A1" s="21" t="inlineStr">
        <x:is>
          <x:t xml:space="preserve">ProgramID</x:t>
        </x:is>
      </x:c>
      <x:c r="B1" s="21" t="inlineStr">
        <x:is>
          <x:t xml:space="preserve">MessagePillar</x:t>
        </x:is>
      </x:c>
      <x:c r="C1" s="21" t="inlineStr">
        <x:is>
          <x:t xml:space="preserve">StatementID</x:t>
        </x:is>
      </x:c>
      <x:c r="D1" s="21" t="inlineStr">
        <x:is>
          <x:t xml:space="preserve">ScientificStatement</x:t>
        </x:is>
      </x:c>
      <x:c r="E1" s="21" t="inlineStr">
        <x:is>
          <x:t xml:space="preserve">EvidenceID</x:t>
        </x:is>
      </x:c>
      <x:c r="F1" s="21" t="inlineStr">
        <x:is>
          <x:t xml:space="preserve">EvidenceQuote</x:t>
        </x:is>
      </x:c>
      <x:c r="G1" s="21" t="inlineStr">
        <x:is>
          <x:t xml:space="preserve">Reference</x:t>
        </x:is>
      </x:c>
      <x:c r="H1" s="21" t="inlineStr">
        <x:is>
          <x:t xml:space="preserve">SupportLevel</x:t>
        </x:is>
      </x:c>
      <x:c r="I1" s="21" t="inlineStr">
        <x:is>
          <x:t xml:space="preserve">OutputGate</x:t>
        </x:is>
      </x:c>
      <x:c r="J1" s="13" t="inlineStr">
        <x:is>
          <x:t xml:space="preserve">ApprovalDependency</x:t>
        </x:is>
      </x:c>
    </x:row>
    <x:row r="2" s="12" customFormat="1" ht="28.350000381469727" customHeight="1">
      <x:c r="A2" s="16" t="inlineStr">
        <x:is>
          <x:t xml:space="preserve">HIV_LAI_LAUNCH</x:t>
        </x:is>
      </x:c>
      <x:c r="B2" s="16" t="inlineStr">
        <x:is>
          <x:t xml:space="preserve">Adherence vulnerability of oral care</x:t>
        </x:is>
      </x:c>
      <x:c r="C2" s="16" t="inlineStr">
        <x:is>
          <x:t xml:space="preserve">HIV_LAI_LAUNCH_ST01</x:t>
        </x:is>
      </x:c>
      <x:c r="D2" s="16" t="inlineStr">
        <x:is>
          <x:t xml:space="preserve">Suboptimal adherence to daily oral ART is associated with increased risk of virologic rebound.</x:t>
        </x:is>
      </x:c>
      <x:c r="E2" s="16" t="inlineStr">
        <x:is>
          <x:t xml:space="preserve">EV1</x:t>
        </x:is>
      </x:c>
      <x:c r="F2" s="16" t="inlineStr">
        <x:is>
          <x:t xml:space="preserve">Participants with lower adherence had a higher risk of confirmed virologic rebound during follow-up.</x:t>
        </x:is>
      </x:c>
      <x:c r="G2" s="16" t="inlineStr">
        <x:is>
          <x:t xml:space="preserve">Oral_ART_Adherence_Study.pdf p6</x:t>
        </x:is>
      </x:c>
      <x:c r="H2" s="16" t="str">
        <x:f>IF(COUNTIFS(Evidence_Register!$C:$C,$C2,Evidence_Register!$I:$I,"Validated")&gt;0,"Supported","Blocked")</x:f>
        <x:v>Blocked</x:v>
      </x:c>
      <x:c r="I2" s="16" t="str">
        <x:f>IF(COUNTIFS(Evidence_Register!$C:$C,$C2,Evidence_Register!$I:$I,"Validated")&gt;0,"Allow","Hold")</x:f>
        <x:v>Hold</x:v>
      </x:c>
      <x:c r="J2" t="str">
        <x:f>IF(AND(COUNTIFS(Evidence_Register!$C:$C,C2,Evidence_Register!$J:$J,"Validated")&gt;0,COUNTIFS(Statement_Blueprint!$C:$C,C2,Statement_Blueprint!$G:$G,"Approved")&gt;0),"Pass","Blocked")</x:f>
        <x:v>Blocked</x:v>
      </x:c>
    </x:row>
    <x:row r="3" s="12" customFormat="1" ht="28.350000381469727" customHeight="1">
      <x:c r="A3" s="16" t="inlineStr">
        <x:is>
          <x:t xml:space="preserve">HIV_LAI_LAUNCH</x:t>
        </x:is>
      </x:c>
      <x:c r="B3" s="16" t="inlineStr">
        <x:is>
          <x:t xml:space="preserve">LAI as clinically meaningful option</x:t>
        </x:is>
      </x:c>
      <x:c r="C3" s="16" t="inlineStr">
        <x:is>
          <x:t xml:space="preserve">HIV_LAI_LAUNCH_ST02</x:t>
        </x:is>
      </x:c>
      <x:c r="D3" s="16" t="inlineStr">
        <x:is>
          <x:t xml:space="preserve">Long-acting injectable ART can support durable viral suppression in appropriately selected patients.</x:t>
        </x:is>
      </x:c>
      <x:c r="E3" s="16" t="inlineStr">
        <x:is>
          <x:t xml:space="preserve">EV3</x:t>
        </x:is>
      </x:c>
      <x:c r="F3" s="16" t="inlineStr">
        <x:is>
          <x:t xml:space="preserve">Long-acting therapy maintained viral suppression in the majority of eligible participants through week 48.</x:t>
        </x:is>
      </x:c>
      <x:c r="G3" s="16" t="inlineStr">
        <x:is>
          <x:t xml:space="preserve">LAI_Suppression_Trial.pdf p8</x:t>
        </x:is>
      </x:c>
      <x:c r="H3" s="16" t="str">
        <x:f>IF(COUNTIFS(Evidence_Register!$C:$C,$C3,Evidence_Register!$I:$I,"Validated")&gt;0,"Supported","Blocked")</x:f>
        <x:v>Blocked</x:v>
      </x:c>
      <x:c r="I3" s="16" t="str">
        <x:f>IF(COUNTIFS(Evidence_Register!$C:$C,$C3,Evidence_Register!$I:$I,"Validated")&gt;0,"Allow","Hold")</x:f>
        <x:v>Hold</x:v>
      </x:c>
      <x:c r="J3" t="str">
        <x:f>IF(AND(COUNTIFS(Evidence_Register!$C:$C,C3,Evidence_Register!$J:$J,"Validated")&gt;0,COUNTIFS(Statement_Blueprint!$C:$C,C3,Statement_Blueprint!$G:$G,"Approved")&gt;0),"Pass","Blocked")</x:f>
        <x:v>Blocked</x:v>
      </x:c>
    </x:row>
    <x:row r="4" s="12" customFormat="1" ht="28.350000381469727" customHeight="1">
      <x:c r="A4" s="16" t="inlineStr">
        <x:is>
          <x:t xml:space="preserve">HIV_LAI_LAUNCH</x:t>
        </x:is>
      </x:c>
      <x:c r="B4" s="16" t="inlineStr">
        <x:is>
          <x:t xml:space="preserve">Broader patient relevance</x:t>
        </x:is>
      </x:c>
      <x:c r="C4" s="16" t="inlineStr">
        <x:is>
          <x:t xml:space="preserve">HIV_LAI_LAUNCH_ST03</x:t>
        </x:is>
      </x:c>
      <x:c r="D4" s="16" t="inlineStr">
        <x:is>
          <x:t xml:space="preserve">Patients considered stable in clinic may still benefit from treatment options that reduce daily adherence burden.</x:t>
        </x:is>
      </x:c>
      <x:c r="E4" s="16" t="n"/>
      <x:c r="F4" s="16" t="n"/>
      <x:c r="G4" s="16" t="n"/>
      <x:c r="H4" s="16" t="str">
        <x:f>IF(COUNTIFS(Evidence_Register!$C:$C,$C4,Evidence_Register!$I:$I,"Validated")&gt;0,"Supported","Blocked")</x:f>
        <x:v>Blocked</x:v>
      </x:c>
      <x:c r="I4" s="16" t="str">
        <x:f>IF(COUNTIFS(Evidence_Register!$C:$C,$C4,Evidence_Register!$I:$I,"Validated")&gt;0,"Allow","Hold")</x:f>
        <x:v>Hold</x:v>
      </x:c>
      <x:c r="J4" t="str">
        <x:f>IF(AND(COUNTIFS(Evidence_Register!$C:$C,C4,Evidence_Register!$J:$J,"Validated")&gt;0,COUNTIFS(Statement_Blueprint!$C:$C,C4,Statement_Blueprint!$G:$G,"Approved")&gt;0),"Pass","Blocked")</x:f>
        <x:v>Blocked</x:v>
      </x:c>
    </x:row>
  </x:sheetData>
  <x:pageMargins left="0.7" right="0.7" top="0.75" bottom="0.75" header="0.3" footer="0.3"/>
  <x:legacyDrawing xmlns:r="http://schemas.openxmlformats.org/officeDocument/2006/relationships" r:id="Rc1875c93193d4b50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4" style="11" customWidth="1"/>
    <x:col min="2" max="2" width="14" style="11" customWidth="1"/>
    <x:col min="3" max="3" width="14" style="11" customWidth="1"/>
    <x:col min="4" max="4" width="22" style="11" customWidth="1"/>
    <x:col min="5" max="5" width="14" style="11" customWidth="1"/>
    <x:col min="6" max="7" width="15" style="11" customWidth="1"/>
    <x:col min="7" max="7" width="20" style="12" customWidth="1"/>
    <x:col min="8" max="8" width="16" style="12" customWidth="1"/>
  </x:cols>
  <x:sheetData>
    <x:row r="1" s="12" customFormat="1" ht="28.350000381469727" customHeight="1">
      <x:c r="A1" s="21" t="inlineStr">
        <x:is>
          <x:t xml:space="preserve">ProgramID</x:t>
        </x:is>
      </x:c>
      <x:c r="B1" s="21" t="inlineStr">
        <x:is>
          <x:t xml:space="preserve">StatementID</x:t>
        </x:is>
      </x:c>
      <x:c r="C1" s="21" t="inlineStr">
        <x:is>
          <x:t xml:space="preserve">SubBeliefID</x:t>
        </x:is>
      </x:c>
      <x:c r="D1" s="21" t="inlineStr">
        <x:is>
          <x:t xml:space="preserve">ScientificStatement</x:t>
        </x:is>
      </x:c>
      <x:c r="E1" s="21" t="inlineStr">
        <x:is>
          <x:t xml:space="preserve">ClaimType</x:t>
        </x:is>
      </x:c>
      <x:c r="F1" s="21" t="inlineStr">
        <x:is>
          <x:t xml:space="preserve">SupportLevel</x:t>
        </x:is>
      </x:c>
      <x:c r="G1" s="21" t="inlineStr">
        <x:is>
          <x:t xml:space="preserve">StrategicPriority</x:t>
        </x:is>
      </x:c>
      <x:c r="H1" s="13" t="inlineStr">
        <x:is>
          <x:t xml:space="preserve">RoutingRuleID</x:t>
        </x:is>
      </x:c>
      <x:c r="I1" t="str">
        <x:v>GeneratedLensCount</x:v>
      </x:c>
      <x:c r="J1" t="str">
        <x:v>BAOS_CumulativeEnd</x:v>
      </x:c>
      <x:c r="K1" t="str">
        <x:v>ActiveStatementCount</x:v>
      </x:c>
      <x:c r="L1" t="str">
        <x:v>TotalGeneratedRows</x:v>
      </x:c>
    </x:row>
    <x:row r="2" s="12" customFormat="1" ht="28.350000381469727" customHeight="1">
      <x:c r="A2" s="16" t="inlineStr">
        <x:is>
          <x:t xml:space="preserve">HIV_LAI_LAUNCH</x:t>
        </x:is>
      </x:c>
      <x:c r="B2" s="16" t="inlineStr">
        <x:is>
          <x:t xml:space="preserve">HIV_LAI_LAUNCH_ST01</x:t>
        </x:is>
      </x:c>
      <x:c r="C2" s="16" t="inlineStr">
        <x:is>
          <x:t xml:space="preserve">SB1</x:t>
        </x:is>
      </x:c>
      <x:c r="D2" s="16" t="inlineStr">
        <x:is>
          <x:t xml:space="preserve">Suboptimal adherence to daily oral ART is associated with increased risk of virologic rebound.</x:t>
        </x:is>
      </x:c>
      <x:c r="E2" s="16" t="inlineStr">
        <x:is>
          <x:t xml:space="preserve">Clinical efficacy</x:t>
        </x:is>
      </x:c>
      <x:c r="F2" s="16" t="inlineStr">
        <x:is>
          <x:t xml:space="preserve">Strong</x:t>
        </x:is>
      </x:c>
      <x:c r="G2" s="16" t="inlineStr">
        <x:is>
          <x:t xml:space="preserve">High</x:t>
        </x:is>
      </x:c>
      <x:c r="H2" t="inlineStr">
        <x:is>
          <x:t xml:space="preserve">IR1</x:t>
        </x:is>
      </x:c>
      <x:c r="I2" t="n">
        <x:f>IF(E2="","",COUNTIF(BAOS_ClaimType_Lens_Map!$A$2:$A$200,E2))</x:f>
        <x:v>14</x:v>
      </x:c>
      <x:c r="J2" t="n">
        <x:f>IF(I2="","",SUM($I$2:I2))</x:f>
        <x:v>14</x:v>
      </x:c>
      <x:c r="K2" t="n">
        <x:f>COUNTIF($A$2:$A$500,"&lt;&gt;")</x:f>
        <x:v>2</x:v>
      </x:c>
      <x:c r="L2" t="n">
        <x:f>IF(K2=0,0,INDEX($J$2:$J$500,K2))</x:f>
        <x:v>28</x:v>
      </x:c>
    </x:row>
    <x:row r="3" s="12" customFormat="1" ht="28.350000381469727" customHeight="1">
      <x:c r="A3" s="16" t="inlineStr">
        <x:is>
          <x:t xml:space="preserve">HIV_LAI_LAUNCH</x:t>
        </x:is>
      </x:c>
      <x:c r="B3" s="16" t="inlineStr">
        <x:is>
          <x:t xml:space="preserve">HIV_LAI_LAUNCH_ST02</x:t>
        </x:is>
      </x:c>
      <x:c r="C3" s="16" t="inlineStr">
        <x:is>
          <x:t xml:space="preserve">SB2</x:t>
        </x:is>
      </x:c>
      <x:c r="D3" s="16" t="inlineStr">
        <x:is>
          <x:t xml:space="preserve">Long-acting injectable ART can support durable viral suppression in appropriately selected patients.</x:t>
        </x:is>
      </x:c>
      <x:c r="E3" s="16" t="inlineStr">
        <x:is>
          <x:t xml:space="preserve">Clinical efficacy</x:t>
        </x:is>
      </x:c>
      <x:c r="F3" s="16" t="inlineStr">
        <x:is>
          <x:t xml:space="preserve">Strong</x:t>
        </x:is>
      </x:c>
      <x:c r="G3" s="16" t="inlineStr">
        <x:is>
          <x:t xml:space="preserve">High</x:t>
        </x:is>
      </x:c>
      <x:c r="H3" t="inlineStr">
        <x:is>
          <x:t xml:space="preserve">IR1</x:t>
        </x:is>
      </x:c>
      <x:c r="I3" t="n">
        <x:f>IF(E3="","",COUNTIF(BAOS_ClaimType_Lens_Map!$A$2:$A$200,E3))</x:f>
        <x:v>14</x:v>
      </x:c>
      <x:c r="J3" t="n">
        <x:f>IF(I3="","",SUM($I$2:I3))</x:f>
        <x:v>28</x:v>
      </x:c>
    </x:row>
    <x:row r="4">
      <x:c r="I4" t="str">
        <x:f>IF(E4="","",COUNTIF(BAOS_ClaimType_Lens_Map!$A$2:$A$200,E4))</x:f>
      </x:c>
      <x:c r="J4" t="str">
        <x:f>IF(I4="","",SUM($I$2:I4))</x:f>
      </x:c>
    </x:row>
    <x:row r="5">
      <x:c r="I5" t="str">
        <x:f>IF(E5="","",COUNTIF(BAOS_ClaimType_Lens_Map!$A$2:$A$200,E5))</x:f>
      </x:c>
      <x:c r="J5" t="str">
        <x:f>IF(I5="","",SUM($I$2:I5))</x:f>
      </x:c>
    </x:row>
    <x:row r="6">
      <x:c r="I6" t="str">
        <x:f>IF(E6="","",COUNTIF(BAOS_ClaimType_Lens_Map!$A$2:$A$200,E6))</x:f>
      </x:c>
      <x:c r="J6" t="str">
        <x:f>IF(I6="","",SUM($I$2:I6))</x:f>
      </x:c>
    </x:row>
    <x:row r="7">
      <x:c r="I7" t="str">
        <x:f>IF(E7="","",COUNTIF(BAOS_ClaimType_Lens_Map!$A$2:$A$200,E7))</x:f>
      </x:c>
      <x:c r="J7" t="str">
        <x:f>IF(I7="","",SUM($I$2:I7))</x:f>
      </x:c>
    </x:row>
    <x:row r="8">
      <x:c r="I8" t="str">
        <x:f>IF(E8="","",COUNTIF(BAOS_ClaimType_Lens_Map!$A$2:$A$200,E8))</x:f>
      </x:c>
      <x:c r="J8" t="str">
        <x:f>IF(I8="","",SUM($I$2:I8))</x:f>
      </x:c>
    </x:row>
    <x:row r="9">
      <x:c r="I9" t="str">
        <x:f>IF(E9="","",COUNTIF(BAOS_ClaimType_Lens_Map!$A$2:$A$200,E9))</x:f>
      </x:c>
      <x:c r="J9" t="str">
        <x:f>IF(I9="","",SUM($I$2:I9))</x:f>
      </x:c>
    </x:row>
    <x:row r="10">
      <x:c r="I10" t="str">
        <x:f>IF(E10="","",COUNTIF(BAOS_ClaimType_Lens_Map!$A$2:$A$200,E10))</x:f>
      </x:c>
      <x:c r="J10" t="str">
        <x:f>IF(I10="","",SUM($I$2:I10))</x:f>
      </x:c>
    </x:row>
    <x:row r="11">
      <x:c r="I11" t="str">
        <x:f>IF(E11="","",COUNTIF(BAOS_ClaimType_Lens_Map!$A$2:$A$200,E11))</x:f>
      </x:c>
      <x:c r="J11" t="str">
        <x:f>IF(I11="","",SUM($I$2:I11))</x:f>
      </x:c>
    </x:row>
    <x:row r="12">
      <x:c r="I12" t="str">
        <x:f>IF(E12="","",COUNTIF(BAOS_ClaimType_Lens_Map!$A$2:$A$200,E12))</x:f>
      </x:c>
      <x:c r="J12" t="str">
        <x:f>IF(I12="","",SUM($I$2:I12))</x:f>
      </x:c>
    </x:row>
    <x:row r="13">
      <x:c r="I13" t="str">
        <x:f>IF(E13="","",COUNTIF(BAOS_ClaimType_Lens_Map!$A$2:$A$200,E13))</x:f>
      </x:c>
      <x:c r="J13" t="str">
        <x:f>IF(I13="","",SUM($I$2:I13))</x:f>
      </x:c>
    </x:row>
    <x:row r="14">
      <x:c r="I14" t="str">
        <x:f>IF(E14="","",COUNTIF(BAOS_ClaimType_Lens_Map!$A$2:$A$200,E14))</x:f>
      </x:c>
      <x:c r="J14" t="str">
        <x:f>IF(I14="","",SUM($I$2:I14))</x:f>
      </x:c>
    </x:row>
    <x:row r="15">
      <x:c r="I15" t="str">
        <x:f>IF(E15="","",COUNTIF(BAOS_ClaimType_Lens_Map!$A$2:$A$200,E15))</x:f>
      </x:c>
      <x:c r="J15" t="str">
        <x:f>IF(I15="","",SUM($I$2:I15))</x:f>
      </x:c>
    </x:row>
    <x:row r="16">
      <x:c r="I16" t="str">
        <x:f>IF(E16="","",COUNTIF(BAOS_ClaimType_Lens_Map!$A$2:$A$200,E16))</x:f>
      </x:c>
      <x:c r="J16" t="str">
        <x:f>IF(I16="","",SUM($I$2:I16))</x:f>
      </x:c>
    </x:row>
    <x:row r="17">
      <x:c r="I17" t="str">
        <x:f>IF(E17="","",COUNTIF(BAOS_ClaimType_Lens_Map!$A$2:$A$200,E17))</x:f>
      </x:c>
      <x:c r="J17" t="str">
        <x:f>IF(I17="","",SUM($I$2:I17))</x:f>
      </x:c>
    </x:row>
    <x:row r="18">
      <x:c r="I18" t="str">
        <x:f>IF(E18="","",COUNTIF(BAOS_ClaimType_Lens_Map!$A$2:$A$200,E18))</x:f>
      </x:c>
      <x:c r="J18" t="str">
        <x:f>IF(I18="","",SUM($I$2:I18))</x:f>
      </x:c>
    </x:row>
    <x:row r="19">
      <x:c r="I19" t="str">
        <x:f>IF(E19="","",COUNTIF(BAOS_ClaimType_Lens_Map!$A$2:$A$200,E19))</x:f>
      </x:c>
      <x:c r="J19" t="str">
        <x:f>IF(I19="","",SUM($I$2:I19))</x:f>
      </x:c>
    </x:row>
    <x:row r="20">
      <x:c r="I20" t="str">
        <x:f>IF(E20="","",COUNTIF(BAOS_ClaimType_Lens_Map!$A$2:$A$200,E20))</x:f>
      </x:c>
      <x:c r="J20" t="str">
        <x:f>IF(I20="","",SUM($I$2:I20))</x:f>
      </x:c>
    </x:row>
    <x:row r="21">
      <x:c r="I21" t="str">
        <x:f>IF(E21="","",COUNTIF(BAOS_ClaimType_Lens_Map!$A$2:$A$200,E21))</x:f>
      </x:c>
      <x:c r="J21" t="str">
        <x:f>IF(I21="","",SUM($I$2:I21))</x:f>
      </x:c>
    </x:row>
    <x:row r="22">
      <x:c r="I22" t="str">
        <x:f>IF(E22="","",COUNTIF(BAOS_ClaimType_Lens_Map!$A$2:$A$200,E22))</x:f>
      </x:c>
      <x:c r="J22" t="str">
        <x:f>IF(I22="","",SUM($I$2:I22))</x:f>
      </x:c>
    </x:row>
    <x:row r="23">
      <x:c r="I23" t="str">
        <x:f>IF(E23="","",COUNTIF(BAOS_ClaimType_Lens_Map!$A$2:$A$200,E23))</x:f>
      </x:c>
      <x:c r="J23" t="str">
        <x:f>IF(I23="","",SUM($I$2:I23))</x:f>
      </x:c>
    </x:row>
    <x:row r="24">
      <x:c r="I24" t="str">
        <x:f>IF(E24="","",COUNTIF(BAOS_ClaimType_Lens_Map!$A$2:$A$200,E24))</x:f>
      </x:c>
      <x:c r="J24" t="str">
        <x:f>IF(I24="","",SUM($I$2:I24))</x:f>
      </x:c>
    </x:row>
    <x:row r="25">
      <x:c r="I25" t="str">
        <x:f>IF(E25="","",COUNTIF(BAOS_ClaimType_Lens_Map!$A$2:$A$200,E25))</x:f>
      </x:c>
      <x:c r="J25" t="str">
        <x:f>IF(I25="","",SUM($I$2:I25))</x:f>
      </x:c>
    </x:row>
    <x:row r="26">
      <x:c r="I26" t="str">
        <x:f>IF(E26="","",COUNTIF(BAOS_ClaimType_Lens_Map!$A$2:$A$200,E26))</x:f>
      </x:c>
      <x:c r="J26" t="str">
        <x:f>IF(I26="","",SUM($I$2:I26))</x:f>
      </x:c>
    </x:row>
    <x:row r="27">
      <x:c r="I27" t="str">
        <x:f>IF(E27="","",COUNTIF(BAOS_ClaimType_Lens_Map!$A$2:$A$200,E27))</x:f>
      </x:c>
      <x:c r="J27" t="str">
        <x:f>IF(I27="","",SUM($I$2:I27))</x:f>
      </x:c>
    </x:row>
    <x:row r="28">
      <x:c r="I28" t="str">
        <x:f>IF(E28="","",COUNTIF(BAOS_ClaimType_Lens_Map!$A$2:$A$200,E28))</x:f>
      </x:c>
      <x:c r="J28" t="str">
        <x:f>IF(I28="","",SUM($I$2:I28))</x:f>
      </x:c>
    </x:row>
    <x:row r="29">
      <x:c r="I29" t="str">
        <x:f>IF(E29="","",COUNTIF(BAOS_ClaimType_Lens_Map!$A$2:$A$200,E29))</x:f>
      </x:c>
      <x:c r="J29" t="str">
        <x:f>IF(I29="","",SUM($I$2:I29))</x:f>
      </x:c>
    </x:row>
    <x:row r="30">
      <x:c r="I30" t="str">
        <x:f>IF(E30="","",COUNTIF(BAOS_ClaimType_Lens_Map!$A$2:$A$200,E30))</x:f>
      </x:c>
      <x:c r="J30" t="str">
        <x:f>IF(I30="","",SUM($I$2:I30))</x:f>
      </x:c>
    </x:row>
    <x:row r="31">
      <x:c r="I31" t="str">
        <x:f>IF(E31="","",COUNTIF(BAOS_ClaimType_Lens_Map!$A$2:$A$200,E31))</x:f>
      </x:c>
      <x:c r="J31" t="str">
        <x:f>IF(I31="","",SUM($I$2:I31))</x:f>
      </x:c>
    </x:row>
    <x:row r="32">
      <x:c r="I32" t="str">
        <x:f>IF(E32="","",COUNTIF(BAOS_ClaimType_Lens_Map!$A$2:$A$200,E32))</x:f>
      </x:c>
      <x:c r="J32" t="str">
        <x:f>IF(I32="","",SUM($I$2:I32))</x:f>
      </x:c>
    </x:row>
    <x:row r="33">
      <x:c r="I33" t="str">
        <x:f>IF(E33="","",COUNTIF(BAOS_ClaimType_Lens_Map!$A$2:$A$200,E33))</x:f>
      </x:c>
      <x:c r="J33" t="str">
        <x:f>IF(I33="","",SUM($I$2:I33))</x:f>
      </x:c>
    </x:row>
    <x:row r="34">
      <x:c r="I34" t="str">
        <x:f>IF(E34="","",COUNTIF(BAOS_ClaimType_Lens_Map!$A$2:$A$200,E34))</x:f>
      </x:c>
      <x:c r="J34" t="str">
        <x:f>IF(I34="","",SUM($I$2:I34))</x:f>
      </x:c>
    </x:row>
    <x:row r="35">
      <x:c r="I35" t="str">
        <x:f>IF(E35="","",COUNTIF(BAOS_ClaimType_Lens_Map!$A$2:$A$200,E35))</x:f>
      </x:c>
      <x:c r="J35" t="str">
        <x:f>IF(I35="","",SUM($I$2:I35))</x:f>
      </x:c>
    </x:row>
    <x:row r="36">
      <x:c r="I36" t="str">
        <x:f>IF(E36="","",COUNTIF(BAOS_ClaimType_Lens_Map!$A$2:$A$200,E36))</x:f>
      </x:c>
      <x:c r="J36" t="str">
        <x:f>IF(I36="","",SUM($I$2:I36))</x:f>
      </x:c>
    </x:row>
    <x:row r="37">
      <x:c r="I37" t="str">
        <x:f>IF(E37="","",COUNTIF(BAOS_ClaimType_Lens_Map!$A$2:$A$200,E37))</x:f>
      </x:c>
      <x:c r="J37" t="str">
        <x:f>IF(I37="","",SUM($I$2:I37))</x:f>
      </x:c>
    </x:row>
    <x:row r="38">
      <x:c r="I38" t="str">
        <x:f>IF(E38="","",COUNTIF(BAOS_ClaimType_Lens_Map!$A$2:$A$200,E38))</x:f>
      </x:c>
      <x:c r="J38" t="str">
        <x:f>IF(I38="","",SUM($I$2:I38))</x:f>
      </x:c>
    </x:row>
    <x:row r="39">
      <x:c r="I39" t="str">
        <x:f>IF(E39="","",COUNTIF(BAOS_ClaimType_Lens_Map!$A$2:$A$200,E39))</x:f>
      </x:c>
      <x:c r="J39" t="str">
        <x:f>IF(I39="","",SUM($I$2:I39))</x:f>
      </x:c>
    </x:row>
    <x:row r="40">
      <x:c r="I40" t="str">
        <x:f>IF(E40="","",COUNTIF(BAOS_ClaimType_Lens_Map!$A$2:$A$200,E40))</x:f>
      </x:c>
      <x:c r="J40" t="str">
        <x:f>IF(I40="","",SUM($I$2:I40))</x:f>
      </x:c>
    </x:row>
    <x:row r="41">
      <x:c r="I41" t="str">
        <x:f>IF(E41="","",COUNTIF(BAOS_ClaimType_Lens_Map!$A$2:$A$200,E41))</x:f>
      </x:c>
      <x:c r="J41" t="str">
        <x:f>IF(I41="","",SUM($I$2:I41))</x:f>
      </x:c>
    </x:row>
    <x:row r="42">
      <x:c r="I42" t="str">
        <x:f>IF(E42="","",COUNTIF(BAOS_ClaimType_Lens_Map!$A$2:$A$200,E42))</x:f>
      </x:c>
      <x:c r="J42" t="str">
        <x:f>IF(I42="","",SUM($I$2:I42))</x:f>
      </x:c>
    </x:row>
    <x:row r="43">
      <x:c r="I43" t="str">
        <x:f>IF(E43="","",COUNTIF(BAOS_ClaimType_Lens_Map!$A$2:$A$200,E43))</x:f>
      </x:c>
      <x:c r="J43" t="str">
        <x:f>IF(I43="","",SUM($I$2:I43))</x:f>
      </x:c>
    </x:row>
    <x:row r="44">
      <x:c r="I44" t="str">
        <x:f>IF(E44="","",COUNTIF(BAOS_ClaimType_Lens_Map!$A$2:$A$200,E44))</x:f>
      </x:c>
      <x:c r="J44" t="str">
        <x:f>IF(I44="","",SUM($I$2:I44))</x:f>
      </x:c>
    </x:row>
    <x:row r="45">
      <x:c r="I45" t="str">
        <x:f>IF(E45="","",COUNTIF(BAOS_ClaimType_Lens_Map!$A$2:$A$200,E45))</x:f>
      </x:c>
      <x:c r="J45" t="str">
        <x:f>IF(I45="","",SUM($I$2:I45))</x:f>
      </x:c>
    </x:row>
    <x:row r="46">
      <x:c r="I46" t="str">
        <x:f>IF(E46="","",COUNTIF(BAOS_ClaimType_Lens_Map!$A$2:$A$200,E46))</x:f>
      </x:c>
      <x:c r="J46" t="str">
        <x:f>IF(I46="","",SUM($I$2:I46))</x:f>
      </x:c>
    </x:row>
    <x:row r="47">
      <x:c r="I47" t="str">
        <x:f>IF(E47="","",COUNTIF(BAOS_ClaimType_Lens_Map!$A$2:$A$200,E47))</x:f>
      </x:c>
      <x:c r="J47" t="str">
        <x:f>IF(I47="","",SUM($I$2:I47))</x:f>
      </x:c>
    </x:row>
    <x:row r="48">
      <x:c r="I48" t="str">
        <x:f>IF(E48="","",COUNTIF(BAOS_ClaimType_Lens_Map!$A$2:$A$200,E48))</x:f>
      </x:c>
      <x:c r="J48" t="str">
        <x:f>IF(I48="","",SUM($I$2:I48))</x:f>
      </x:c>
    </x:row>
    <x:row r="49">
      <x:c r="I49" t="str">
        <x:f>IF(E49="","",COUNTIF(BAOS_ClaimType_Lens_Map!$A$2:$A$200,E49))</x:f>
      </x:c>
      <x:c r="J49" t="str">
        <x:f>IF(I49="","",SUM($I$2:I49))</x:f>
      </x:c>
    </x:row>
    <x:row r="50">
      <x:c r="I50" t="str">
        <x:f>IF(E50="","",COUNTIF(BAOS_ClaimType_Lens_Map!$A$2:$A$200,E50))</x:f>
      </x:c>
      <x:c r="J50" t="str">
        <x:f>IF(I50="","",SUM($I$2:I50))</x:f>
      </x:c>
    </x:row>
    <x:row r="51">
      <x:c r="I51" t="str">
        <x:f>IF(E51="","",COUNTIF(BAOS_ClaimType_Lens_Map!$A$2:$A$200,E51))</x:f>
      </x:c>
      <x:c r="J51" t="str">
        <x:f>IF(I51="","",SUM($I$2:I51))</x:f>
      </x:c>
    </x:row>
    <x:row r="52">
      <x:c r="I52" t="str">
        <x:f>IF(E52="","",COUNTIF(BAOS_ClaimType_Lens_Map!$A$2:$A$200,E52))</x:f>
      </x:c>
      <x:c r="J52" t="str">
        <x:f>IF(I52="","",SUM($I$2:I52))</x:f>
      </x:c>
    </x:row>
    <x:row r="53">
      <x:c r="I53" t="str">
        <x:f>IF(E53="","",COUNTIF(BAOS_ClaimType_Lens_Map!$A$2:$A$200,E53))</x:f>
      </x:c>
      <x:c r="J53" t="str">
        <x:f>IF(I53="","",SUM($I$2:I53))</x:f>
      </x:c>
    </x:row>
    <x:row r="54">
      <x:c r="I54" t="str">
        <x:f>IF(E54="","",COUNTIF(BAOS_ClaimType_Lens_Map!$A$2:$A$200,E54))</x:f>
      </x:c>
      <x:c r="J54" t="str">
        <x:f>IF(I54="","",SUM($I$2:I54))</x:f>
      </x:c>
    </x:row>
    <x:row r="55">
      <x:c r="I55" t="str">
        <x:f>IF(E55="","",COUNTIF(BAOS_ClaimType_Lens_Map!$A$2:$A$200,E55))</x:f>
      </x:c>
      <x:c r="J55" t="str">
        <x:f>IF(I55="","",SUM($I$2:I55))</x:f>
      </x:c>
    </x:row>
    <x:row r="56">
      <x:c r="I56" t="str">
        <x:f>IF(E56="","",COUNTIF(BAOS_ClaimType_Lens_Map!$A$2:$A$200,E56))</x:f>
      </x:c>
      <x:c r="J56" t="str">
        <x:f>IF(I56="","",SUM($I$2:I56))</x:f>
      </x:c>
    </x:row>
    <x:row r="57">
      <x:c r="I57" t="str">
        <x:f>IF(E57="","",COUNTIF(BAOS_ClaimType_Lens_Map!$A$2:$A$200,E57))</x:f>
      </x:c>
      <x:c r="J57" t="str">
        <x:f>IF(I57="","",SUM($I$2:I57))</x:f>
      </x:c>
    </x:row>
    <x:row r="58">
      <x:c r="I58" t="str">
        <x:f>IF(E58="","",COUNTIF(BAOS_ClaimType_Lens_Map!$A$2:$A$200,E58))</x:f>
      </x:c>
      <x:c r="J58" t="str">
        <x:f>IF(I58="","",SUM($I$2:I58))</x:f>
      </x:c>
    </x:row>
    <x:row r="59">
      <x:c r="I59" t="str">
        <x:f>IF(E59="","",COUNTIF(BAOS_ClaimType_Lens_Map!$A$2:$A$200,E59))</x:f>
      </x:c>
      <x:c r="J59" t="str">
        <x:f>IF(I59="","",SUM($I$2:I59))</x:f>
      </x:c>
    </x:row>
    <x:row r="60">
      <x:c r="I60" t="str">
        <x:f>IF(E60="","",COUNTIF(BAOS_ClaimType_Lens_Map!$A$2:$A$200,E60))</x:f>
      </x:c>
      <x:c r="J60" t="str">
        <x:f>IF(I60="","",SUM($I$2:I60))</x:f>
      </x:c>
    </x:row>
    <x:row r="61">
      <x:c r="I61" t="str">
        <x:f>IF(E61="","",COUNTIF(BAOS_ClaimType_Lens_Map!$A$2:$A$200,E61))</x:f>
      </x:c>
      <x:c r="J61" t="str">
        <x:f>IF(I61="","",SUM($I$2:I61))</x:f>
      </x:c>
    </x:row>
    <x:row r="62">
      <x:c r="I62" t="str">
        <x:f>IF(E62="","",COUNTIF(BAOS_ClaimType_Lens_Map!$A$2:$A$200,E62))</x:f>
      </x:c>
      <x:c r="J62" t="str">
        <x:f>IF(I62="","",SUM($I$2:I62))</x:f>
      </x:c>
    </x:row>
    <x:row r="63">
      <x:c r="I63" t="str">
        <x:f>IF(E63="","",COUNTIF(BAOS_ClaimType_Lens_Map!$A$2:$A$200,E63))</x:f>
      </x:c>
      <x:c r="J63" t="str">
        <x:f>IF(I63="","",SUM($I$2:I63))</x:f>
      </x:c>
    </x:row>
    <x:row r="64">
      <x:c r="I64" t="str">
        <x:f>IF(E64="","",COUNTIF(BAOS_ClaimType_Lens_Map!$A$2:$A$200,E64))</x:f>
      </x:c>
      <x:c r="J64" t="str">
        <x:f>IF(I64="","",SUM($I$2:I64))</x:f>
      </x:c>
    </x:row>
    <x:row r="65">
      <x:c r="I65" t="str">
        <x:f>IF(E65="","",COUNTIF(BAOS_ClaimType_Lens_Map!$A$2:$A$200,E65))</x:f>
      </x:c>
      <x:c r="J65" t="str">
        <x:f>IF(I65="","",SUM($I$2:I65))</x:f>
      </x:c>
    </x:row>
    <x:row r="66">
      <x:c r="I66" t="str">
        <x:f>IF(E66="","",COUNTIF(BAOS_ClaimType_Lens_Map!$A$2:$A$200,E66))</x:f>
      </x:c>
      <x:c r="J66" t="str">
        <x:f>IF(I66="","",SUM($I$2:I66))</x:f>
      </x:c>
    </x:row>
    <x:row r="67">
      <x:c r="I67" t="str">
        <x:f>IF(E67="","",COUNTIF(BAOS_ClaimType_Lens_Map!$A$2:$A$200,E67))</x:f>
      </x:c>
      <x:c r="J67" t="str">
        <x:f>IF(I67="","",SUM($I$2:I67))</x:f>
      </x:c>
    </x:row>
    <x:row r="68">
      <x:c r="I68" t="str">
        <x:f>IF(E68="","",COUNTIF(BAOS_ClaimType_Lens_Map!$A$2:$A$200,E68))</x:f>
      </x:c>
      <x:c r="J68" t="str">
        <x:f>IF(I68="","",SUM($I$2:I68))</x:f>
      </x:c>
    </x:row>
    <x:row r="69">
      <x:c r="I69" t="str">
        <x:f>IF(E69="","",COUNTIF(BAOS_ClaimType_Lens_Map!$A$2:$A$200,E69))</x:f>
      </x:c>
      <x:c r="J69" t="str">
        <x:f>IF(I69="","",SUM($I$2:I69))</x:f>
      </x:c>
    </x:row>
    <x:row r="70">
      <x:c r="I70" t="str">
        <x:f>IF(E70="","",COUNTIF(BAOS_ClaimType_Lens_Map!$A$2:$A$200,E70))</x:f>
      </x:c>
      <x:c r="J70" t="str">
        <x:f>IF(I70="","",SUM($I$2:I70))</x:f>
      </x:c>
    </x:row>
    <x:row r="71">
      <x:c r="I71" t="str">
        <x:f>IF(E71="","",COUNTIF(BAOS_ClaimType_Lens_Map!$A$2:$A$200,E71))</x:f>
      </x:c>
      <x:c r="J71" t="str">
        <x:f>IF(I71="","",SUM($I$2:I71))</x:f>
      </x:c>
    </x:row>
    <x:row r="72">
      <x:c r="I72" t="str">
        <x:f>IF(E72="","",COUNTIF(BAOS_ClaimType_Lens_Map!$A$2:$A$200,E72))</x:f>
      </x:c>
      <x:c r="J72" t="str">
        <x:f>IF(I72="","",SUM($I$2:I72))</x:f>
      </x:c>
    </x:row>
    <x:row r="73">
      <x:c r="I73" t="str">
        <x:f>IF(E73="","",COUNTIF(BAOS_ClaimType_Lens_Map!$A$2:$A$200,E73))</x:f>
      </x:c>
      <x:c r="J73" t="str">
        <x:f>IF(I73="","",SUM($I$2:I73))</x:f>
      </x:c>
    </x:row>
    <x:row r="74">
      <x:c r="I74" t="str">
        <x:f>IF(E74="","",COUNTIF(BAOS_ClaimType_Lens_Map!$A$2:$A$200,E74))</x:f>
      </x:c>
      <x:c r="J74" t="str">
        <x:f>IF(I74="","",SUM($I$2:I74))</x:f>
      </x:c>
    </x:row>
    <x:row r="75">
      <x:c r="I75" t="str">
        <x:f>IF(E75="","",COUNTIF(BAOS_ClaimType_Lens_Map!$A$2:$A$200,E75))</x:f>
      </x:c>
      <x:c r="J75" t="str">
        <x:f>IF(I75="","",SUM($I$2:I75))</x:f>
      </x:c>
    </x:row>
    <x:row r="76">
      <x:c r="I76" t="str">
        <x:f>IF(E76="","",COUNTIF(BAOS_ClaimType_Lens_Map!$A$2:$A$200,E76))</x:f>
      </x:c>
      <x:c r="J76" t="str">
        <x:f>IF(I76="","",SUM($I$2:I76))</x:f>
      </x:c>
    </x:row>
    <x:row r="77">
      <x:c r="I77" t="str">
        <x:f>IF(E77="","",COUNTIF(BAOS_ClaimType_Lens_Map!$A$2:$A$200,E77))</x:f>
      </x:c>
      <x:c r="J77" t="str">
        <x:f>IF(I77="","",SUM($I$2:I77))</x:f>
      </x:c>
    </x:row>
    <x:row r="78">
      <x:c r="I78" t="str">
        <x:f>IF(E78="","",COUNTIF(BAOS_ClaimType_Lens_Map!$A$2:$A$200,E78))</x:f>
      </x:c>
      <x:c r="J78" t="str">
        <x:f>IF(I78="","",SUM($I$2:I78))</x:f>
      </x:c>
    </x:row>
    <x:row r="79">
      <x:c r="I79" t="str">
        <x:f>IF(E79="","",COUNTIF(BAOS_ClaimType_Lens_Map!$A$2:$A$200,E79))</x:f>
      </x:c>
      <x:c r="J79" t="str">
        <x:f>IF(I79="","",SUM($I$2:I79))</x:f>
      </x:c>
    </x:row>
    <x:row r="80">
      <x:c r="I80" t="str">
        <x:f>IF(E80="","",COUNTIF(BAOS_ClaimType_Lens_Map!$A$2:$A$200,E80))</x:f>
      </x:c>
      <x:c r="J80" t="str">
        <x:f>IF(I80="","",SUM($I$2:I80))</x:f>
      </x:c>
    </x:row>
    <x:row r="81">
      <x:c r="I81" t="str">
        <x:f>IF(E81="","",COUNTIF(BAOS_ClaimType_Lens_Map!$A$2:$A$200,E81))</x:f>
      </x:c>
      <x:c r="J81" t="str">
        <x:f>IF(I81="","",SUM($I$2:I81))</x:f>
      </x:c>
    </x:row>
    <x:row r="82">
      <x:c r="I82" t="str">
        <x:f>IF(E82="","",COUNTIF(BAOS_ClaimType_Lens_Map!$A$2:$A$200,E82))</x:f>
      </x:c>
      <x:c r="J82" t="str">
        <x:f>IF(I82="","",SUM($I$2:I82))</x:f>
      </x:c>
    </x:row>
    <x:row r="83">
      <x:c r="I83" t="str">
        <x:f>IF(E83="","",COUNTIF(BAOS_ClaimType_Lens_Map!$A$2:$A$200,E83))</x:f>
      </x:c>
      <x:c r="J83" t="str">
        <x:f>IF(I83="","",SUM($I$2:I83))</x:f>
      </x:c>
    </x:row>
    <x:row r="84">
      <x:c r="I84" t="str">
        <x:f>IF(E84="","",COUNTIF(BAOS_ClaimType_Lens_Map!$A$2:$A$200,E84))</x:f>
      </x:c>
      <x:c r="J84" t="str">
        <x:f>IF(I84="","",SUM($I$2:I84))</x:f>
      </x:c>
    </x:row>
    <x:row r="85">
      <x:c r="I85" t="str">
        <x:f>IF(E85="","",COUNTIF(BAOS_ClaimType_Lens_Map!$A$2:$A$200,E85))</x:f>
      </x:c>
      <x:c r="J85" t="str">
        <x:f>IF(I85="","",SUM($I$2:I85))</x:f>
      </x:c>
    </x:row>
    <x:row r="86">
      <x:c r="I86" t="str">
        <x:f>IF(E86="","",COUNTIF(BAOS_ClaimType_Lens_Map!$A$2:$A$200,E86))</x:f>
      </x:c>
      <x:c r="J86" t="str">
        <x:f>IF(I86="","",SUM($I$2:I86))</x:f>
      </x:c>
    </x:row>
    <x:row r="87">
      <x:c r="I87" t="str">
        <x:f>IF(E87="","",COUNTIF(BAOS_ClaimType_Lens_Map!$A$2:$A$200,E87))</x:f>
      </x:c>
      <x:c r="J87" t="str">
        <x:f>IF(I87="","",SUM($I$2:I87))</x:f>
      </x:c>
    </x:row>
    <x:row r="88">
      <x:c r="I88" t="str">
        <x:f>IF(E88="","",COUNTIF(BAOS_ClaimType_Lens_Map!$A$2:$A$200,E88))</x:f>
      </x:c>
      <x:c r="J88" t="str">
        <x:f>IF(I88="","",SUM($I$2:I88))</x:f>
      </x:c>
    </x:row>
    <x:row r="89">
      <x:c r="I89" t="str">
        <x:f>IF(E89="","",COUNTIF(BAOS_ClaimType_Lens_Map!$A$2:$A$200,E89))</x:f>
      </x:c>
      <x:c r="J89" t="str">
        <x:f>IF(I89="","",SUM($I$2:I89))</x:f>
      </x:c>
    </x:row>
    <x:row r="90">
      <x:c r="I90" t="str">
        <x:f>IF(E90="","",COUNTIF(BAOS_ClaimType_Lens_Map!$A$2:$A$200,E90))</x:f>
      </x:c>
      <x:c r="J90" t="str">
        <x:f>IF(I90="","",SUM($I$2:I90))</x:f>
      </x:c>
    </x:row>
    <x:row r="91">
      <x:c r="I91" t="str">
        <x:f>IF(E91="","",COUNTIF(BAOS_ClaimType_Lens_Map!$A$2:$A$200,E91))</x:f>
      </x:c>
      <x:c r="J91" t="str">
        <x:f>IF(I91="","",SUM($I$2:I91))</x:f>
      </x:c>
    </x:row>
    <x:row r="92">
      <x:c r="I92" t="str">
        <x:f>IF(E92="","",COUNTIF(BAOS_ClaimType_Lens_Map!$A$2:$A$200,E92))</x:f>
      </x:c>
      <x:c r="J92" t="str">
        <x:f>IF(I92="","",SUM($I$2:I92))</x:f>
      </x:c>
    </x:row>
    <x:row r="93">
      <x:c r="I93" t="str">
        <x:f>IF(E93="","",COUNTIF(BAOS_ClaimType_Lens_Map!$A$2:$A$200,E93))</x:f>
      </x:c>
      <x:c r="J93" t="str">
        <x:f>IF(I93="","",SUM($I$2:I93))</x:f>
      </x:c>
    </x:row>
    <x:row r="94">
      <x:c r="I94" t="str">
        <x:f>IF(E94="","",COUNTIF(BAOS_ClaimType_Lens_Map!$A$2:$A$200,E94))</x:f>
      </x:c>
      <x:c r="J94" t="str">
        <x:f>IF(I94="","",SUM($I$2:I94))</x:f>
      </x:c>
    </x:row>
    <x:row r="95">
      <x:c r="I95" t="str">
        <x:f>IF(E95="","",COUNTIF(BAOS_ClaimType_Lens_Map!$A$2:$A$200,E95))</x:f>
      </x:c>
      <x:c r="J95" t="str">
        <x:f>IF(I95="","",SUM($I$2:I95))</x:f>
      </x:c>
    </x:row>
    <x:row r="96">
      <x:c r="I96" t="str">
        <x:f>IF(E96="","",COUNTIF(BAOS_ClaimType_Lens_Map!$A$2:$A$200,E96))</x:f>
      </x:c>
      <x:c r="J96" t="str">
        <x:f>IF(I96="","",SUM($I$2:I96))</x:f>
      </x:c>
    </x:row>
    <x:row r="97">
      <x:c r="I97" t="str">
        <x:f>IF(E97="","",COUNTIF(BAOS_ClaimType_Lens_Map!$A$2:$A$200,E97))</x:f>
      </x:c>
      <x:c r="J97" t="str">
        <x:f>IF(I97="","",SUM($I$2:I97))</x:f>
      </x:c>
    </x:row>
    <x:row r="98">
      <x:c r="I98" t="str">
        <x:f>IF(E98="","",COUNTIF(BAOS_ClaimType_Lens_Map!$A$2:$A$200,E98))</x:f>
      </x:c>
      <x:c r="J98" t="str">
        <x:f>IF(I98="","",SUM($I$2:I98))</x:f>
      </x:c>
    </x:row>
    <x:row r="99">
      <x:c r="I99" t="str">
        <x:f>IF(E99="","",COUNTIF(BAOS_ClaimType_Lens_Map!$A$2:$A$200,E99))</x:f>
      </x:c>
      <x:c r="J99" t="str">
        <x:f>IF(I99="","",SUM($I$2:I99))</x:f>
      </x:c>
    </x:row>
    <x:row r="100">
      <x:c r="I100" t="str">
        <x:f>IF(E100="","",COUNTIF(BAOS_ClaimType_Lens_Map!$A$2:$A$200,E100))</x:f>
      </x:c>
      <x:c r="J100" t="str">
        <x:f>IF(I100="","",SUM($I$2:I100))</x:f>
      </x:c>
    </x:row>
    <x:row r="101">
      <x:c r="I101" t="str">
        <x:f>IF(E101="","",COUNTIF(BAOS_ClaimType_Lens_Map!$A$2:$A$200,E101))</x:f>
      </x:c>
      <x:c r="J101" t="str">
        <x:f>IF(I101="","",SUM($I$2:I101))</x:f>
      </x:c>
    </x:row>
    <x:row r="102">
      <x:c r="I102" t="str">
        <x:f>IF(E102="","",COUNTIF(BAOS_ClaimType_Lens_Map!$A$2:$A$200,E102))</x:f>
      </x:c>
      <x:c r="J102" t="str">
        <x:f>IF(I102="","",SUM($I$2:I102))</x:f>
      </x:c>
    </x:row>
    <x:row r="103">
      <x:c r="I103" t="str">
        <x:f>IF(E103="","",COUNTIF(BAOS_ClaimType_Lens_Map!$A$2:$A$200,E103))</x:f>
      </x:c>
      <x:c r="J103" t="str">
        <x:f>IF(I103="","",SUM($I$2:I103))</x:f>
      </x:c>
    </x:row>
    <x:row r="104">
      <x:c r="I104" t="str">
        <x:f>IF(E104="","",COUNTIF(BAOS_ClaimType_Lens_Map!$A$2:$A$200,E104))</x:f>
      </x:c>
      <x:c r="J104" t="str">
        <x:f>IF(I104="","",SUM($I$2:I104))</x:f>
      </x:c>
    </x:row>
    <x:row r="105">
      <x:c r="I105" t="str">
        <x:f>IF(E105="","",COUNTIF(BAOS_ClaimType_Lens_Map!$A$2:$A$200,E105))</x:f>
      </x:c>
      <x:c r="J105" t="str">
        <x:f>IF(I105="","",SUM($I$2:I105))</x:f>
      </x:c>
    </x:row>
    <x:row r="106">
      <x:c r="I106" t="str">
        <x:f>IF(E106="","",COUNTIF(BAOS_ClaimType_Lens_Map!$A$2:$A$200,E106))</x:f>
      </x:c>
      <x:c r="J106" t="str">
        <x:f>IF(I106="","",SUM($I$2:I106))</x:f>
      </x:c>
    </x:row>
    <x:row r="107">
      <x:c r="I107" t="str">
        <x:f>IF(E107="","",COUNTIF(BAOS_ClaimType_Lens_Map!$A$2:$A$200,E107))</x:f>
      </x:c>
      <x:c r="J107" t="str">
        <x:f>IF(I107="","",SUM($I$2:I107))</x:f>
      </x:c>
    </x:row>
    <x:row r="108">
      <x:c r="I108" t="str">
        <x:f>IF(E108="","",COUNTIF(BAOS_ClaimType_Lens_Map!$A$2:$A$200,E108))</x:f>
      </x:c>
      <x:c r="J108" t="str">
        <x:f>IF(I108="","",SUM($I$2:I108))</x:f>
      </x:c>
    </x:row>
    <x:row r="109">
      <x:c r="I109" t="str">
        <x:f>IF(E109="","",COUNTIF(BAOS_ClaimType_Lens_Map!$A$2:$A$200,E109))</x:f>
      </x:c>
      <x:c r="J109" t="str">
        <x:f>IF(I109="","",SUM($I$2:I109))</x:f>
      </x:c>
    </x:row>
    <x:row r="110">
      <x:c r="I110" t="str">
        <x:f>IF(E110="","",COUNTIF(BAOS_ClaimType_Lens_Map!$A$2:$A$200,E110))</x:f>
      </x:c>
      <x:c r="J110" t="str">
        <x:f>IF(I110="","",SUM($I$2:I110))</x:f>
      </x:c>
    </x:row>
    <x:row r="111">
      <x:c r="I111" t="str">
        <x:f>IF(E111="","",COUNTIF(BAOS_ClaimType_Lens_Map!$A$2:$A$200,E111))</x:f>
      </x:c>
      <x:c r="J111" t="str">
        <x:f>IF(I111="","",SUM($I$2:I111))</x:f>
      </x:c>
    </x:row>
    <x:row r="112">
      <x:c r="I112" t="str">
        <x:f>IF(E112="","",COUNTIF(BAOS_ClaimType_Lens_Map!$A$2:$A$200,E112))</x:f>
      </x:c>
      <x:c r="J112" t="str">
        <x:f>IF(I112="","",SUM($I$2:I112))</x:f>
      </x:c>
    </x:row>
    <x:row r="113">
      <x:c r="I113" t="str">
        <x:f>IF(E113="","",COUNTIF(BAOS_ClaimType_Lens_Map!$A$2:$A$200,E113))</x:f>
      </x:c>
      <x:c r="J113" t="str">
        <x:f>IF(I113="","",SUM($I$2:I113))</x:f>
      </x:c>
    </x:row>
    <x:row r="114">
      <x:c r="I114" t="str">
        <x:f>IF(E114="","",COUNTIF(BAOS_ClaimType_Lens_Map!$A$2:$A$200,E114))</x:f>
      </x:c>
      <x:c r="J114" t="str">
        <x:f>IF(I114="","",SUM($I$2:I114))</x:f>
      </x:c>
    </x:row>
    <x:row r="115">
      <x:c r="I115" t="str">
        <x:f>IF(E115="","",COUNTIF(BAOS_ClaimType_Lens_Map!$A$2:$A$200,E115))</x:f>
      </x:c>
      <x:c r="J115" t="str">
        <x:f>IF(I115="","",SUM($I$2:I115))</x:f>
      </x:c>
    </x:row>
    <x:row r="116">
      <x:c r="I116" t="str">
        <x:f>IF(E116="","",COUNTIF(BAOS_ClaimType_Lens_Map!$A$2:$A$200,E116))</x:f>
      </x:c>
      <x:c r="J116" t="str">
        <x:f>IF(I116="","",SUM($I$2:I116))</x:f>
      </x:c>
    </x:row>
    <x:row r="117">
      <x:c r="I117" t="str">
        <x:f>IF(E117="","",COUNTIF(BAOS_ClaimType_Lens_Map!$A$2:$A$200,E117))</x:f>
      </x:c>
      <x:c r="J117" t="str">
        <x:f>IF(I117="","",SUM($I$2:I117))</x:f>
      </x:c>
    </x:row>
    <x:row r="118">
      <x:c r="I118" t="str">
        <x:f>IF(E118="","",COUNTIF(BAOS_ClaimType_Lens_Map!$A$2:$A$200,E118))</x:f>
      </x:c>
      <x:c r="J118" t="str">
        <x:f>IF(I118="","",SUM($I$2:I118))</x:f>
      </x:c>
    </x:row>
    <x:row r="119">
      <x:c r="I119" t="str">
        <x:f>IF(E119="","",COUNTIF(BAOS_ClaimType_Lens_Map!$A$2:$A$200,E119))</x:f>
      </x:c>
      <x:c r="J119" t="str">
        <x:f>IF(I119="","",SUM($I$2:I119))</x:f>
      </x:c>
    </x:row>
    <x:row r="120">
      <x:c r="I120" t="str">
        <x:f>IF(E120="","",COUNTIF(BAOS_ClaimType_Lens_Map!$A$2:$A$200,E120))</x:f>
      </x:c>
      <x:c r="J120" t="str">
        <x:f>IF(I120="","",SUM($I$2:I120))</x:f>
      </x:c>
    </x:row>
    <x:row r="121">
      <x:c r="I121" t="str">
        <x:f>IF(E121="","",COUNTIF(BAOS_ClaimType_Lens_Map!$A$2:$A$200,E121))</x:f>
      </x:c>
      <x:c r="J121" t="str">
        <x:f>IF(I121="","",SUM($I$2:I121))</x:f>
      </x:c>
    </x:row>
    <x:row r="122">
      <x:c r="I122" t="str">
        <x:f>IF(E122="","",COUNTIF(BAOS_ClaimType_Lens_Map!$A$2:$A$200,E122))</x:f>
      </x:c>
      <x:c r="J122" t="str">
        <x:f>IF(I122="","",SUM($I$2:I122))</x:f>
      </x:c>
    </x:row>
    <x:row r="123">
      <x:c r="I123" t="str">
        <x:f>IF(E123="","",COUNTIF(BAOS_ClaimType_Lens_Map!$A$2:$A$200,E123))</x:f>
      </x:c>
      <x:c r="J123" t="str">
        <x:f>IF(I123="","",SUM($I$2:I123))</x:f>
      </x:c>
    </x:row>
    <x:row r="124">
      <x:c r="I124" t="str">
        <x:f>IF(E124="","",COUNTIF(BAOS_ClaimType_Lens_Map!$A$2:$A$200,E124))</x:f>
      </x:c>
      <x:c r="J124" t="str">
        <x:f>IF(I124="","",SUM($I$2:I124))</x:f>
      </x:c>
    </x:row>
    <x:row r="125">
      <x:c r="I125" t="str">
        <x:f>IF(E125="","",COUNTIF(BAOS_ClaimType_Lens_Map!$A$2:$A$200,E125))</x:f>
      </x:c>
      <x:c r="J125" t="str">
        <x:f>IF(I125="","",SUM($I$2:I125))</x:f>
      </x:c>
    </x:row>
    <x:row r="126">
      <x:c r="I126" t="str">
        <x:f>IF(E126="","",COUNTIF(BAOS_ClaimType_Lens_Map!$A$2:$A$200,E126))</x:f>
      </x:c>
      <x:c r="J126" t="str">
        <x:f>IF(I126="","",SUM($I$2:I126))</x:f>
      </x:c>
    </x:row>
    <x:row r="127">
      <x:c r="I127" t="str">
        <x:f>IF(E127="","",COUNTIF(BAOS_ClaimType_Lens_Map!$A$2:$A$200,E127))</x:f>
      </x:c>
      <x:c r="J127" t="str">
        <x:f>IF(I127="","",SUM($I$2:I127))</x:f>
      </x:c>
    </x:row>
    <x:row r="128">
      <x:c r="I128" t="str">
        <x:f>IF(E128="","",COUNTIF(BAOS_ClaimType_Lens_Map!$A$2:$A$200,E128))</x:f>
      </x:c>
      <x:c r="J128" t="str">
        <x:f>IF(I128="","",SUM($I$2:I128))</x:f>
      </x:c>
    </x:row>
    <x:row r="129">
      <x:c r="I129" t="str">
        <x:f>IF(E129="","",COUNTIF(BAOS_ClaimType_Lens_Map!$A$2:$A$200,E129))</x:f>
      </x:c>
      <x:c r="J129" t="str">
        <x:f>IF(I129="","",SUM($I$2:I129))</x:f>
      </x:c>
    </x:row>
    <x:row r="130">
      <x:c r="I130" t="str">
        <x:f>IF(E130="","",COUNTIF(BAOS_ClaimType_Lens_Map!$A$2:$A$200,E130))</x:f>
      </x:c>
      <x:c r="J130" t="str">
        <x:f>IF(I130="","",SUM($I$2:I130))</x:f>
      </x:c>
    </x:row>
    <x:row r="131">
      <x:c r="I131" t="str">
        <x:f>IF(E131="","",COUNTIF(BAOS_ClaimType_Lens_Map!$A$2:$A$200,E131))</x:f>
      </x:c>
      <x:c r="J131" t="str">
        <x:f>IF(I131="","",SUM($I$2:I131))</x:f>
      </x:c>
    </x:row>
    <x:row r="132">
      <x:c r="I132" t="str">
        <x:f>IF(E132="","",COUNTIF(BAOS_ClaimType_Lens_Map!$A$2:$A$200,E132))</x:f>
      </x:c>
      <x:c r="J132" t="str">
        <x:f>IF(I132="","",SUM($I$2:I132))</x:f>
      </x:c>
    </x:row>
    <x:row r="133">
      <x:c r="I133" t="str">
        <x:f>IF(E133="","",COUNTIF(BAOS_ClaimType_Lens_Map!$A$2:$A$200,E133))</x:f>
      </x:c>
      <x:c r="J133" t="str">
        <x:f>IF(I133="","",SUM($I$2:I133))</x:f>
      </x:c>
    </x:row>
    <x:row r="134">
      <x:c r="I134" t="str">
        <x:f>IF(E134="","",COUNTIF(BAOS_ClaimType_Lens_Map!$A$2:$A$200,E134))</x:f>
      </x:c>
      <x:c r="J134" t="str">
        <x:f>IF(I134="","",SUM($I$2:I134))</x:f>
      </x:c>
    </x:row>
    <x:row r="135">
      <x:c r="I135" t="str">
        <x:f>IF(E135="","",COUNTIF(BAOS_ClaimType_Lens_Map!$A$2:$A$200,E135))</x:f>
      </x:c>
      <x:c r="J135" t="str">
        <x:f>IF(I135="","",SUM($I$2:I135))</x:f>
      </x:c>
    </x:row>
    <x:row r="136">
      <x:c r="I136" t="str">
        <x:f>IF(E136="","",COUNTIF(BAOS_ClaimType_Lens_Map!$A$2:$A$200,E136))</x:f>
      </x:c>
      <x:c r="J136" t="str">
        <x:f>IF(I136="","",SUM($I$2:I136))</x:f>
      </x:c>
    </x:row>
    <x:row r="137">
      <x:c r="I137" t="str">
        <x:f>IF(E137="","",COUNTIF(BAOS_ClaimType_Lens_Map!$A$2:$A$200,E137))</x:f>
      </x:c>
      <x:c r="J137" t="str">
        <x:f>IF(I137="","",SUM($I$2:I137))</x:f>
      </x:c>
    </x:row>
    <x:row r="138">
      <x:c r="I138" t="str">
        <x:f>IF(E138="","",COUNTIF(BAOS_ClaimType_Lens_Map!$A$2:$A$200,E138))</x:f>
      </x:c>
      <x:c r="J138" t="str">
        <x:f>IF(I138="","",SUM($I$2:I138))</x:f>
      </x:c>
    </x:row>
    <x:row r="139">
      <x:c r="I139" t="str">
        <x:f>IF(E139="","",COUNTIF(BAOS_ClaimType_Lens_Map!$A$2:$A$200,E139))</x:f>
      </x:c>
      <x:c r="J139" t="str">
        <x:f>IF(I139="","",SUM($I$2:I139))</x:f>
      </x:c>
    </x:row>
    <x:row r="140">
      <x:c r="I140" t="str">
        <x:f>IF(E140="","",COUNTIF(BAOS_ClaimType_Lens_Map!$A$2:$A$200,E140))</x:f>
      </x:c>
      <x:c r="J140" t="str">
        <x:f>IF(I140="","",SUM($I$2:I140))</x:f>
      </x:c>
    </x:row>
    <x:row r="141">
      <x:c r="I141" t="str">
        <x:f>IF(E141="","",COUNTIF(BAOS_ClaimType_Lens_Map!$A$2:$A$200,E141))</x:f>
      </x:c>
      <x:c r="J141" t="str">
        <x:f>IF(I141="","",SUM($I$2:I141))</x:f>
      </x:c>
    </x:row>
    <x:row r="142">
      <x:c r="I142" t="str">
        <x:f>IF(E142="","",COUNTIF(BAOS_ClaimType_Lens_Map!$A$2:$A$200,E142))</x:f>
      </x:c>
      <x:c r="J142" t="str">
        <x:f>IF(I142="","",SUM($I$2:I142))</x:f>
      </x:c>
    </x:row>
    <x:row r="143">
      <x:c r="I143" t="str">
        <x:f>IF(E143="","",COUNTIF(BAOS_ClaimType_Lens_Map!$A$2:$A$200,E143))</x:f>
      </x:c>
      <x:c r="J143" t="str">
        <x:f>IF(I143="","",SUM($I$2:I143))</x:f>
      </x:c>
    </x:row>
    <x:row r="144">
      <x:c r="I144" t="str">
        <x:f>IF(E144="","",COUNTIF(BAOS_ClaimType_Lens_Map!$A$2:$A$200,E144))</x:f>
      </x:c>
      <x:c r="J144" t="str">
        <x:f>IF(I144="","",SUM($I$2:I144))</x:f>
      </x:c>
    </x:row>
    <x:row r="145">
      <x:c r="I145" t="str">
        <x:f>IF(E145="","",COUNTIF(BAOS_ClaimType_Lens_Map!$A$2:$A$200,E145))</x:f>
      </x:c>
      <x:c r="J145" t="str">
        <x:f>IF(I145="","",SUM($I$2:I145))</x:f>
      </x:c>
    </x:row>
    <x:row r="146">
      <x:c r="I146" t="str">
        <x:f>IF(E146="","",COUNTIF(BAOS_ClaimType_Lens_Map!$A$2:$A$200,E146))</x:f>
      </x:c>
      <x:c r="J146" t="str">
        <x:f>IF(I146="","",SUM($I$2:I146))</x:f>
      </x:c>
    </x:row>
    <x:row r="147">
      <x:c r="I147" t="str">
        <x:f>IF(E147="","",COUNTIF(BAOS_ClaimType_Lens_Map!$A$2:$A$200,E147))</x:f>
      </x:c>
      <x:c r="J147" t="str">
        <x:f>IF(I147="","",SUM($I$2:I147))</x:f>
      </x:c>
    </x:row>
    <x:row r="148">
      <x:c r="I148" t="str">
        <x:f>IF(E148="","",COUNTIF(BAOS_ClaimType_Lens_Map!$A$2:$A$200,E148))</x:f>
      </x:c>
      <x:c r="J148" t="str">
        <x:f>IF(I148="","",SUM($I$2:I148))</x:f>
      </x:c>
    </x:row>
    <x:row r="149">
      <x:c r="I149" t="str">
        <x:f>IF(E149="","",COUNTIF(BAOS_ClaimType_Lens_Map!$A$2:$A$200,E149))</x:f>
      </x:c>
      <x:c r="J149" t="str">
        <x:f>IF(I149="","",SUM($I$2:I149))</x:f>
      </x:c>
    </x:row>
    <x:row r="150">
      <x:c r="I150" t="str">
        <x:f>IF(E150="","",COUNTIF(BAOS_ClaimType_Lens_Map!$A$2:$A$200,E150))</x:f>
      </x:c>
      <x:c r="J150" t="str">
        <x:f>IF(I150="","",SUM($I$2:I150))</x:f>
      </x:c>
    </x:row>
    <x:row r="151">
      <x:c r="I151" t="str">
        <x:f>IF(E151="","",COUNTIF(BAOS_ClaimType_Lens_Map!$A$2:$A$200,E151))</x:f>
      </x:c>
      <x:c r="J151" t="str">
        <x:f>IF(I151="","",SUM($I$2:I151))</x:f>
      </x:c>
    </x:row>
    <x:row r="152">
      <x:c r="I152" t="str">
        <x:f>IF(E152="","",COUNTIF(BAOS_ClaimType_Lens_Map!$A$2:$A$200,E152))</x:f>
      </x:c>
      <x:c r="J152" t="str">
        <x:f>IF(I152="","",SUM($I$2:I152))</x:f>
      </x:c>
    </x:row>
    <x:row r="153">
      <x:c r="I153" t="str">
        <x:f>IF(E153="","",COUNTIF(BAOS_ClaimType_Lens_Map!$A$2:$A$200,E153))</x:f>
      </x:c>
      <x:c r="J153" t="str">
        <x:f>IF(I153="","",SUM($I$2:I153))</x:f>
      </x:c>
    </x:row>
    <x:row r="154">
      <x:c r="I154" t="str">
        <x:f>IF(E154="","",COUNTIF(BAOS_ClaimType_Lens_Map!$A$2:$A$200,E154))</x:f>
      </x:c>
      <x:c r="J154" t="str">
        <x:f>IF(I154="","",SUM($I$2:I154))</x:f>
      </x:c>
    </x:row>
    <x:row r="155">
      <x:c r="I155" t="str">
        <x:f>IF(E155="","",COUNTIF(BAOS_ClaimType_Lens_Map!$A$2:$A$200,E155))</x:f>
      </x:c>
      <x:c r="J155" t="str">
        <x:f>IF(I155="","",SUM($I$2:I155))</x:f>
      </x:c>
    </x:row>
    <x:row r="156">
      <x:c r="I156" t="str">
        <x:f>IF(E156="","",COUNTIF(BAOS_ClaimType_Lens_Map!$A$2:$A$200,E156))</x:f>
      </x:c>
      <x:c r="J156" t="str">
        <x:f>IF(I156="","",SUM($I$2:I156))</x:f>
      </x:c>
    </x:row>
    <x:row r="157">
      <x:c r="I157" t="str">
        <x:f>IF(E157="","",COUNTIF(BAOS_ClaimType_Lens_Map!$A$2:$A$200,E157))</x:f>
      </x:c>
      <x:c r="J157" t="str">
        <x:f>IF(I157="","",SUM($I$2:I157))</x:f>
      </x:c>
    </x:row>
    <x:row r="158">
      <x:c r="I158" t="str">
        <x:f>IF(E158="","",COUNTIF(BAOS_ClaimType_Lens_Map!$A$2:$A$200,E158))</x:f>
      </x:c>
      <x:c r="J158" t="str">
        <x:f>IF(I158="","",SUM($I$2:I158))</x:f>
      </x:c>
    </x:row>
    <x:row r="159">
      <x:c r="I159" t="str">
        <x:f>IF(E159="","",COUNTIF(BAOS_ClaimType_Lens_Map!$A$2:$A$200,E159))</x:f>
      </x:c>
      <x:c r="J159" t="str">
        <x:f>IF(I159="","",SUM($I$2:I159))</x:f>
      </x:c>
    </x:row>
    <x:row r="160">
      <x:c r="I160" t="str">
        <x:f>IF(E160="","",COUNTIF(BAOS_ClaimType_Lens_Map!$A$2:$A$200,E160))</x:f>
      </x:c>
      <x:c r="J160" t="str">
        <x:f>IF(I160="","",SUM($I$2:I160))</x:f>
      </x:c>
    </x:row>
    <x:row r="161">
      <x:c r="I161" t="str">
        <x:f>IF(E161="","",COUNTIF(BAOS_ClaimType_Lens_Map!$A$2:$A$200,E161))</x:f>
      </x:c>
      <x:c r="J161" t="str">
        <x:f>IF(I161="","",SUM($I$2:I161))</x:f>
      </x:c>
    </x:row>
    <x:row r="162">
      <x:c r="I162" t="str">
        <x:f>IF(E162="","",COUNTIF(BAOS_ClaimType_Lens_Map!$A$2:$A$200,E162))</x:f>
      </x:c>
      <x:c r="J162" t="str">
        <x:f>IF(I162="","",SUM($I$2:I162))</x:f>
      </x:c>
    </x:row>
    <x:row r="163">
      <x:c r="I163" t="str">
        <x:f>IF(E163="","",COUNTIF(BAOS_ClaimType_Lens_Map!$A$2:$A$200,E163))</x:f>
      </x:c>
      <x:c r="J163" t="str">
        <x:f>IF(I163="","",SUM($I$2:I163))</x:f>
      </x:c>
    </x:row>
    <x:row r="164">
      <x:c r="I164" t="str">
        <x:f>IF(E164="","",COUNTIF(BAOS_ClaimType_Lens_Map!$A$2:$A$200,E164))</x:f>
      </x:c>
      <x:c r="J164" t="str">
        <x:f>IF(I164="","",SUM($I$2:I164))</x:f>
      </x:c>
    </x:row>
    <x:row r="165">
      <x:c r="I165" t="str">
        <x:f>IF(E165="","",COUNTIF(BAOS_ClaimType_Lens_Map!$A$2:$A$200,E165))</x:f>
      </x:c>
      <x:c r="J165" t="str">
        <x:f>IF(I165="","",SUM($I$2:I165))</x:f>
      </x:c>
    </x:row>
    <x:row r="166">
      <x:c r="I166" t="str">
        <x:f>IF(E166="","",COUNTIF(BAOS_ClaimType_Lens_Map!$A$2:$A$200,E166))</x:f>
      </x:c>
      <x:c r="J166" t="str">
        <x:f>IF(I166="","",SUM($I$2:I166))</x:f>
      </x:c>
    </x:row>
    <x:row r="167">
      <x:c r="I167" t="str">
        <x:f>IF(E167="","",COUNTIF(BAOS_ClaimType_Lens_Map!$A$2:$A$200,E167))</x:f>
      </x:c>
      <x:c r="J167" t="str">
        <x:f>IF(I167="","",SUM($I$2:I167))</x:f>
      </x:c>
    </x:row>
    <x:row r="168">
      <x:c r="I168" t="str">
        <x:f>IF(E168="","",COUNTIF(BAOS_ClaimType_Lens_Map!$A$2:$A$200,E168))</x:f>
      </x:c>
      <x:c r="J168" t="str">
        <x:f>IF(I168="","",SUM($I$2:I168))</x:f>
      </x:c>
    </x:row>
    <x:row r="169">
      <x:c r="I169" t="str">
        <x:f>IF(E169="","",COUNTIF(BAOS_ClaimType_Lens_Map!$A$2:$A$200,E169))</x:f>
      </x:c>
      <x:c r="J169" t="str">
        <x:f>IF(I169="","",SUM($I$2:I169))</x:f>
      </x:c>
    </x:row>
    <x:row r="170">
      <x:c r="I170" t="str">
        <x:f>IF(E170="","",COUNTIF(BAOS_ClaimType_Lens_Map!$A$2:$A$200,E170))</x:f>
      </x:c>
      <x:c r="J170" t="str">
        <x:f>IF(I170="","",SUM($I$2:I170))</x:f>
      </x:c>
    </x:row>
    <x:row r="171">
      <x:c r="I171" t="str">
        <x:f>IF(E171="","",COUNTIF(BAOS_ClaimType_Lens_Map!$A$2:$A$200,E171))</x:f>
      </x:c>
      <x:c r="J171" t="str">
        <x:f>IF(I171="","",SUM($I$2:I171))</x:f>
      </x:c>
    </x:row>
    <x:row r="172">
      <x:c r="I172" t="str">
        <x:f>IF(E172="","",COUNTIF(BAOS_ClaimType_Lens_Map!$A$2:$A$200,E172))</x:f>
      </x:c>
      <x:c r="J172" t="str">
        <x:f>IF(I172="","",SUM($I$2:I172))</x:f>
      </x:c>
    </x:row>
    <x:row r="173">
      <x:c r="I173" t="str">
        <x:f>IF(E173="","",COUNTIF(BAOS_ClaimType_Lens_Map!$A$2:$A$200,E173))</x:f>
      </x:c>
      <x:c r="J173" t="str">
        <x:f>IF(I173="","",SUM($I$2:I173))</x:f>
      </x:c>
    </x:row>
    <x:row r="174">
      <x:c r="I174" t="str">
        <x:f>IF(E174="","",COUNTIF(BAOS_ClaimType_Lens_Map!$A$2:$A$200,E174))</x:f>
      </x:c>
      <x:c r="J174" t="str">
        <x:f>IF(I174="","",SUM($I$2:I174))</x:f>
      </x:c>
    </x:row>
    <x:row r="175">
      <x:c r="I175" t="str">
        <x:f>IF(E175="","",COUNTIF(BAOS_ClaimType_Lens_Map!$A$2:$A$200,E175))</x:f>
      </x:c>
      <x:c r="J175" t="str">
        <x:f>IF(I175="","",SUM($I$2:I175))</x:f>
      </x:c>
    </x:row>
    <x:row r="176">
      <x:c r="I176" t="str">
        <x:f>IF(E176="","",COUNTIF(BAOS_ClaimType_Lens_Map!$A$2:$A$200,E176))</x:f>
      </x:c>
      <x:c r="J176" t="str">
        <x:f>IF(I176="","",SUM($I$2:I176))</x:f>
      </x:c>
    </x:row>
    <x:row r="177">
      <x:c r="I177" t="str">
        <x:f>IF(E177="","",COUNTIF(BAOS_ClaimType_Lens_Map!$A$2:$A$200,E177))</x:f>
      </x:c>
      <x:c r="J177" t="str">
        <x:f>IF(I177="","",SUM($I$2:I177))</x:f>
      </x:c>
    </x:row>
    <x:row r="178">
      <x:c r="I178" t="str">
        <x:f>IF(E178="","",COUNTIF(BAOS_ClaimType_Lens_Map!$A$2:$A$200,E178))</x:f>
      </x:c>
      <x:c r="J178" t="str">
        <x:f>IF(I178="","",SUM($I$2:I178))</x:f>
      </x:c>
    </x:row>
    <x:row r="179">
      <x:c r="I179" t="str">
        <x:f>IF(E179="","",COUNTIF(BAOS_ClaimType_Lens_Map!$A$2:$A$200,E179))</x:f>
      </x:c>
      <x:c r="J179" t="str">
        <x:f>IF(I179="","",SUM($I$2:I179))</x:f>
      </x:c>
    </x:row>
    <x:row r="180">
      <x:c r="I180" t="str">
        <x:f>IF(E180="","",COUNTIF(BAOS_ClaimType_Lens_Map!$A$2:$A$200,E180))</x:f>
      </x:c>
      <x:c r="J180" t="str">
        <x:f>IF(I180="","",SUM($I$2:I180))</x:f>
      </x:c>
    </x:row>
    <x:row r="181">
      <x:c r="I181" t="str">
        <x:f>IF(E181="","",COUNTIF(BAOS_ClaimType_Lens_Map!$A$2:$A$200,E181))</x:f>
      </x:c>
      <x:c r="J181" t="str">
        <x:f>IF(I181="","",SUM($I$2:I181))</x:f>
      </x:c>
    </x:row>
    <x:row r="182">
      <x:c r="I182" t="str">
        <x:f>IF(E182="","",COUNTIF(BAOS_ClaimType_Lens_Map!$A$2:$A$200,E182))</x:f>
      </x:c>
      <x:c r="J182" t="str">
        <x:f>IF(I182="","",SUM($I$2:I182))</x:f>
      </x:c>
    </x:row>
    <x:row r="183">
      <x:c r="I183" t="str">
        <x:f>IF(E183="","",COUNTIF(BAOS_ClaimType_Lens_Map!$A$2:$A$200,E183))</x:f>
      </x:c>
      <x:c r="J183" t="str">
        <x:f>IF(I183="","",SUM($I$2:I183))</x:f>
      </x:c>
    </x:row>
    <x:row r="184">
      <x:c r="I184" t="str">
        <x:f>IF(E184="","",COUNTIF(BAOS_ClaimType_Lens_Map!$A$2:$A$200,E184))</x:f>
      </x:c>
      <x:c r="J184" t="str">
        <x:f>IF(I184="","",SUM($I$2:I184))</x:f>
      </x:c>
    </x:row>
    <x:row r="185">
      <x:c r="I185" t="str">
        <x:f>IF(E185="","",COUNTIF(BAOS_ClaimType_Lens_Map!$A$2:$A$200,E185))</x:f>
      </x:c>
      <x:c r="J185" t="str">
        <x:f>IF(I185="","",SUM($I$2:I185))</x:f>
      </x:c>
    </x:row>
    <x:row r="186">
      <x:c r="I186" t="str">
        <x:f>IF(E186="","",COUNTIF(BAOS_ClaimType_Lens_Map!$A$2:$A$200,E186))</x:f>
      </x:c>
      <x:c r="J186" t="str">
        <x:f>IF(I186="","",SUM($I$2:I186))</x:f>
      </x:c>
    </x:row>
    <x:row r="187">
      <x:c r="I187" t="str">
        <x:f>IF(E187="","",COUNTIF(BAOS_ClaimType_Lens_Map!$A$2:$A$200,E187))</x:f>
      </x:c>
      <x:c r="J187" t="str">
        <x:f>IF(I187="","",SUM($I$2:I187))</x:f>
      </x:c>
    </x:row>
    <x:row r="188">
      <x:c r="I188" t="str">
        <x:f>IF(E188="","",COUNTIF(BAOS_ClaimType_Lens_Map!$A$2:$A$200,E188))</x:f>
      </x:c>
      <x:c r="J188" t="str">
        <x:f>IF(I188="","",SUM($I$2:I188))</x:f>
      </x:c>
    </x:row>
    <x:row r="189">
      <x:c r="I189" t="str">
        <x:f>IF(E189="","",COUNTIF(BAOS_ClaimType_Lens_Map!$A$2:$A$200,E189))</x:f>
      </x:c>
      <x:c r="J189" t="str">
        <x:f>IF(I189="","",SUM($I$2:I189))</x:f>
      </x:c>
    </x:row>
    <x:row r="190">
      <x:c r="I190" t="str">
        <x:f>IF(E190="","",COUNTIF(BAOS_ClaimType_Lens_Map!$A$2:$A$200,E190))</x:f>
      </x:c>
      <x:c r="J190" t="str">
        <x:f>IF(I190="","",SUM($I$2:I190))</x:f>
      </x:c>
    </x:row>
    <x:row r="191">
      <x:c r="I191" t="str">
        <x:f>IF(E191="","",COUNTIF(BAOS_ClaimType_Lens_Map!$A$2:$A$200,E191))</x:f>
      </x:c>
      <x:c r="J191" t="str">
        <x:f>IF(I191="","",SUM($I$2:I191))</x:f>
      </x:c>
    </x:row>
    <x:row r="192">
      <x:c r="I192" t="str">
        <x:f>IF(E192="","",COUNTIF(BAOS_ClaimType_Lens_Map!$A$2:$A$200,E192))</x:f>
      </x:c>
      <x:c r="J192" t="str">
        <x:f>IF(I192="","",SUM($I$2:I192))</x:f>
      </x:c>
    </x:row>
    <x:row r="193">
      <x:c r="I193" t="str">
        <x:f>IF(E193="","",COUNTIF(BAOS_ClaimType_Lens_Map!$A$2:$A$200,E193))</x:f>
      </x:c>
      <x:c r="J193" t="str">
        <x:f>IF(I193="","",SUM($I$2:I193))</x:f>
      </x:c>
    </x:row>
    <x:row r="194">
      <x:c r="I194" t="str">
        <x:f>IF(E194="","",COUNTIF(BAOS_ClaimType_Lens_Map!$A$2:$A$200,E194))</x:f>
      </x:c>
      <x:c r="J194" t="str">
        <x:f>IF(I194="","",SUM($I$2:I194))</x:f>
      </x:c>
    </x:row>
    <x:row r="195">
      <x:c r="I195" t="str">
        <x:f>IF(E195="","",COUNTIF(BAOS_ClaimType_Lens_Map!$A$2:$A$200,E195))</x:f>
      </x:c>
      <x:c r="J195" t="str">
        <x:f>IF(I195="","",SUM($I$2:I195))</x:f>
      </x:c>
    </x:row>
    <x:row r="196">
      <x:c r="I196" t="str">
        <x:f>IF(E196="","",COUNTIF(BAOS_ClaimType_Lens_Map!$A$2:$A$200,E196))</x:f>
      </x:c>
      <x:c r="J196" t="str">
        <x:f>IF(I196="","",SUM($I$2:I196))</x:f>
      </x:c>
    </x:row>
    <x:row r="197">
      <x:c r="I197" t="str">
        <x:f>IF(E197="","",COUNTIF(BAOS_ClaimType_Lens_Map!$A$2:$A$200,E197))</x:f>
      </x:c>
      <x:c r="J197" t="str">
        <x:f>IF(I197="","",SUM($I$2:I197))</x:f>
      </x:c>
    </x:row>
    <x:row r="198">
      <x:c r="I198" t="str">
        <x:f>IF(E198="","",COUNTIF(BAOS_ClaimType_Lens_Map!$A$2:$A$200,E198))</x:f>
      </x:c>
      <x:c r="J198" t="str">
        <x:f>IF(I198="","",SUM($I$2:I198))</x:f>
      </x:c>
    </x:row>
    <x:row r="199">
      <x:c r="I199" t="str">
        <x:f>IF(E199="","",COUNTIF(BAOS_ClaimType_Lens_Map!$A$2:$A$200,E199))</x:f>
      </x:c>
      <x:c r="J199" t="str">
        <x:f>IF(I199="","",SUM($I$2:I199))</x:f>
      </x:c>
    </x:row>
    <x:row r="200">
      <x:c r="I200" t="str">
        <x:f>IF(E200="","",COUNTIF(BAOS_ClaimType_Lens_Map!$A$2:$A$200,E200))</x:f>
      </x:c>
      <x:c r="J200" t="str">
        <x:f>IF(I200="","",SUM($I$2:I200))</x:f>
      </x:c>
    </x:row>
    <x:row r="201">
      <x:c r="I201" t="str">
        <x:f>IF(E201="","",COUNTIF(BAOS_ClaimType_Lens_Map!$A$2:$A$200,E201))</x:f>
      </x:c>
      <x:c r="J201" t="str">
        <x:f>IF(I201="","",SUM($I$2:I201))</x:f>
      </x:c>
    </x:row>
    <x:row r="202">
      <x:c r="I202" t="str">
        <x:f>IF(E202="","",COUNTIF(BAOS_ClaimType_Lens_Map!$A$2:$A$200,E202))</x:f>
      </x:c>
      <x:c r="J202" t="str">
        <x:f>IF(I202="","",SUM($I$2:I202))</x:f>
      </x:c>
    </x:row>
    <x:row r="203">
      <x:c r="I203" t="str">
        <x:f>IF(E203="","",COUNTIF(BAOS_ClaimType_Lens_Map!$A$2:$A$200,E203))</x:f>
      </x:c>
      <x:c r="J203" t="str">
        <x:f>IF(I203="","",SUM($I$2:I203))</x:f>
      </x:c>
    </x:row>
    <x:row r="204">
      <x:c r="I204" t="str">
        <x:f>IF(E204="","",COUNTIF(BAOS_ClaimType_Lens_Map!$A$2:$A$200,E204))</x:f>
      </x:c>
      <x:c r="J204" t="str">
        <x:f>IF(I204="","",SUM($I$2:I204))</x:f>
      </x:c>
    </x:row>
    <x:row r="205">
      <x:c r="I205" t="str">
        <x:f>IF(E205="","",COUNTIF(BAOS_ClaimType_Lens_Map!$A$2:$A$200,E205))</x:f>
      </x:c>
      <x:c r="J205" t="str">
        <x:f>IF(I205="","",SUM($I$2:I205))</x:f>
      </x:c>
    </x:row>
    <x:row r="206">
      <x:c r="I206" t="str">
        <x:f>IF(E206="","",COUNTIF(BAOS_ClaimType_Lens_Map!$A$2:$A$200,E206))</x:f>
      </x:c>
      <x:c r="J206" t="str">
        <x:f>IF(I206="","",SUM($I$2:I206))</x:f>
      </x:c>
    </x:row>
    <x:row r="207">
      <x:c r="I207" t="str">
        <x:f>IF(E207="","",COUNTIF(BAOS_ClaimType_Lens_Map!$A$2:$A$200,E207))</x:f>
      </x:c>
      <x:c r="J207" t="str">
        <x:f>IF(I207="","",SUM($I$2:I207))</x:f>
      </x:c>
    </x:row>
    <x:row r="208">
      <x:c r="I208" t="str">
        <x:f>IF(E208="","",COUNTIF(BAOS_ClaimType_Lens_Map!$A$2:$A$200,E208))</x:f>
      </x:c>
      <x:c r="J208" t="str">
        <x:f>IF(I208="","",SUM($I$2:I208))</x:f>
      </x:c>
    </x:row>
    <x:row r="209">
      <x:c r="I209" t="str">
        <x:f>IF(E209="","",COUNTIF(BAOS_ClaimType_Lens_Map!$A$2:$A$200,E209))</x:f>
      </x:c>
      <x:c r="J209" t="str">
        <x:f>IF(I209="","",SUM($I$2:I209))</x:f>
      </x:c>
    </x:row>
    <x:row r="210">
      <x:c r="I210" t="str">
        <x:f>IF(E210="","",COUNTIF(BAOS_ClaimType_Lens_Map!$A$2:$A$200,E210))</x:f>
      </x:c>
      <x:c r="J210" t="str">
        <x:f>IF(I210="","",SUM($I$2:I210))</x:f>
      </x:c>
    </x:row>
    <x:row r="211">
      <x:c r="I211" t="str">
        <x:f>IF(E211="","",COUNTIF(BAOS_ClaimType_Lens_Map!$A$2:$A$200,E211))</x:f>
      </x:c>
      <x:c r="J211" t="str">
        <x:f>IF(I211="","",SUM($I$2:I211))</x:f>
      </x:c>
    </x:row>
    <x:row r="212">
      <x:c r="I212" t="str">
        <x:f>IF(E212="","",COUNTIF(BAOS_ClaimType_Lens_Map!$A$2:$A$200,E212))</x:f>
      </x:c>
      <x:c r="J212" t="str">
        <x:f>IF(I212="","",SUM($I$2:I212))</x:f>
      </x:c>
    </x:row>
    <x:row r="213">
      <x:c r="I213" t="str">
        <x:f>IF(E213="","",COUNTIF(BAOS_ClaimType_Lens_Map!$A$2:$A$200,E213))</x:f>
      </x:c>
      <x:c r="J213" t="str">
        <x:f>IF(I213="","",SUM($I$2:I213))</x:f>
      </x:c>
    </x:row>
    <x:row r="214">
      <x:c r="I214" t="str">
        <x:f>IF(E214="","",COUNTIF(BAOS_ClaimType_Lens_Map!$A$2:$A$200,E214))</x:f>
      </x:c>
      <x:c r="J214" t="str">
        <x:f>IF(I214="","",SUM($I$2:I214))</x:f>
      </x:c>
    </x:row>
    <x:row r="215">
      <x:c r="I215" t="str">
        <x:f>IF(E215="","",COUNTIF(BAOS_ClaimType_Lens_Map!$A$2:$A$200,E215))</x:f>
      </x:c>
      <x:c r="J215" t="str">
        <x:f>IF(I215="","",SUM($I$2:I215))</x:f>
      </x:c>
    </x:row>
    <x:row r="216">
      <x:c r="I216" t="str">
        <x:f>IF(E216="","",COUNTIF(BAOS_ClaimType_Lens_Map!$A$2:$A$200,E216))</x:f>
      </x:c>
      <x:c r="J216" t="str">
        <x:f>IF(I216="","",SUM($I$2:I216))</x:f>
      </x:c>
    </x:row>
    <x:row r="217">
      <x:c r="I217" t="str">
        <x:f>IF(E217="","",COUNTIF(BAOS_ClaimType_Lens_Map!$A$2:$A$200,E217))</x:f>
      </x:c>
      <x:c r="J217" t="str">
        <x:f>IF(I217="","",SUM($I$2:I217))</x:f>
      </x:c>
    </x:row>
    <x:row r="218">
      <x:c r="I218" t="str">
        <x:f>IF(E218="","",COUNTIF(BAOS_ClaimType_Lens_Map!$A$2:$A$200,E218))</x:f>
      </x:c>
      <x:c r="J218" t="str">
        <x:f>IF(I218="","",SUM($I$2:I218))</x:f>
      </x:c>
    </x:row>
    <x:row r="219">
      <x:c r="I219" t="str">
        <x:f>IF(E219="","",COUNTIF(BAOS_ClaimType_Lens_Map!$A$2:$A$200,E219))</x:f>
      </x:c>
      <x:c r="J219" t="str">
        <x:f>IF(I219="","",SUM($I$2:I219))</x:f>
      </x:c>
    </x:row>
    <x:row r="220">
      <x:c r="I220" t="str">
        <x:f>IF(E220="","",COUNTIF(BAOS_ClaimType_Lens_Map!$A$2:$A$200,E220))</x:f>
      </x:c>
      <x:c r="J220" t="str">
        <x:f>IF(I220="","",SUM($I$2:I220))</x:f>
      </x:c>
    </x:row>
    <x:row r="221">
      <x:c r="I221" t="str">
        <x:f>IF(E221="","",COUNTIF(BAOS_ClaimType_Lens_Map!$A$2:$A$200,E221))</x:f>
      </x:c>
      <x:c r="J221" t="str">
        <x:f>IF(I221="","",SUM($I$2:I221))</x:f>
      </x:c>
    </x:row>
    <x:row r="222">
      <x:c r="I222" t="str">
        <x:f>IF(E222="","",COUNTIF(BAOS_ClaimType_Lens_Map!$A$2:$A$200,E222))</x:f>
      </x:c>
      <x:c r="J222" t="str">
        <x:f>IF(I222="","",SUM($I$2:I222))</x:f>
      </x:c>
    </x:row>
    <x:row r="223">
      <x:c r="I223" t="str">
        <x:f>IF(E223="","",COUNTIF(BAOS_ClaimType_Lens_Map!$A$2:$A$200,E223))</x:f>
      </x:c>
      <x:c r="J223" t="str">
        <x:f>IF(I223="","",SUM($I$2:I223))</x:f>
      </x:c>
    </x:row>
    <x:row r="224">
      <x:c r="I224" t="str">
        <x:f>IF(E224="","",COUNTIF(BAOS_ClaimType_Lens_Map!$A$2:$A$200,E224))</x:f>
      </x:c>
      <x:c r="J224" t="str">
        <x:f>IF(I224="","",SUM($I$2:I224))</x:f>
      </x:c>
    </x:row>
    <x:row r="225">
      <x:c r="I225" t="str">
        <x:f>IF(E225="","",COUNTIF(BAOS_ClaimType_Lens_Map!$A$2:$A$200,E225))</x:f>
      </x:c>
      <x:c r="J225" t="str">
        <x:f>IF(I225="","",SUM($I$2:I225))</x:f>
      </x:c>
    </x:row>
    <x:row r="226">
      <x:c r="I226" t="str">
        <x:f>IF(E226="","",COUNTIF(BAOS_ClaimType_Lens_Map!$A$2:$A$200,E226))</x:f>
      </x:c>
      <x:c r="J226" t="str">
        <x:f>IF(I226="","",SUM($I$2:I226))</x:f>
      </x:c>
    </x:row>
    <x:row r="227">
      <x:c r="I227" t="str">
        <x:f>IF(E227="","",COUNTIF(BAOS_ClaimType_Lens_Map!$A$2:$A$200,E227))</x:f>
      </x:c>
      <x:c r="J227" t="str">
        <x:f>IF(I227="","",SUM($I$2:I227))</x:f>
      </x:c>
    </x:row>
    <x:row r="228">
      <x:c r="I228" t="str">
        <x:f>IF(E228="","",COUNTIF(BAOS_ClaimType_Lens_Map!$A$2:$A$200,E228))</x:f>
      </x:c>
      <x:c r="J228" t="str">
        <x:f>IF(I228="","",SUM($I$2:I228))</x:f>
      </x:c>
    </x:row>
    <x:row r="229">
      <x:c r="I229" t="str">
        <x:f>IF(E229="","",COUNTIF(BAOS_ClaimType_Lens_Map!$A$2:$A$200,E229))</x:f>
      </x:c>
      <x:c r="J229" t="str">
        <x:f>IF(I229="","",SUM($I$2:I229))</x:f>
      </x:c>
    </x:row>
    <x:row r="230">
      <x:c r="I230" t="str">
        <x:f>IF(E230="","",COUNTIF(BAOS_ClaimType_Lens_Map!$A$2:$A$200,E230))</x:f>
      </x:c>
      <x:c r="J230" t="str">
        <x:f>IF(I230="","",SUM($I$2:I230))</x:f>
      </x:c>
    </x:row>
    <x:row r="231">
      <x:c r="I231" t="str">
        <x:f>IF(E231="","",COUNTIF(BAOS_ClaimType_Lens_Map!$A$2:$A$200,E231))</x:f>
      </x:c>
      <x:c r="J231" t="str">
        <x:f>IF(I231="","",SUM($I$2:I231))</x:f>
      </x:c>
    </x:row>
    <x:row r="232">
      <x:c r="I232" t="str">
        <x:f>IF(E232="","",COUNTIF(BAOS_ClaimType_Lens_Map!$A$2:$A$200,E232))</x:f>
      </x:c>
      <x:c r="J232" t="str">
        <x:f>IF(I232="","",SUM($I$2:I232))</x:f>
      </x:c>
    </x:row>
    <x:row r="233">
      <x:c r="I233" t="str">
        <x:f>IF(E233="","",COUNTIF(BAOS_ClaimType_Lens_Map!$A$2:$A$200,E233))</x:f>
      </x:c>
      <x:c r="J233" t="str">
        <x:f>IF(I233="","",SUM($I$2:I233))</x:f>
      </x:c>
    </x:row>
    <x:row r="234">
      <x:c r="I234" t="str">
        <x:f>IF(E234="","",COUNTIF(BAOS_ClaimType_Lens_Map!$A$2:$A$200,E234))</x:f>
      </x:c>
      <x:c r="J234" t="str">
        <x:f>IF(I234="","",SUM($I$2:I234))</x:f>
      </x:c>
    </x:row>
    <x:row r="235">
      <x:c r="I235" t="str">
        <x:f>IF(E235="","",COUNTIF(BAOS_ClaimType_Lens_Map!$A$2:$A$200,E235))</x:f>
      </x:c>
      <x:c r="J235" t="str">
        <x:f>IF(I235="","",SUM($I$2:I235))</x:f>
      </x:c>
    </x:row>
    <x:row r="236">
      <x:c r="I236" t="str">
        <x:f>IF(E236="","",COUNTIF(BAOS_ClaimType_Lens_Map!$A$2:$A$200,E236))</x:f>
      </x:c>
      <x:c r="J236" t="str">
        <x:f>IF(I236="","",SUM($I$2:I236))</x:f>
      </x:c>
    </x:row>
    <x:row r="237">
      <x:c r="I237" t="str">
        <x:f>IF(E237="","",COUNTIF(BAOS_ClaimType_Lens_Map!$A$2:$A$200,E237))</x:f>
      </x:c>
      <x:c r="J237" t="str">
        <x:f>IF(I237="","",SUM($I$2:I237))</x:f>
      </x:c>
    </x:row>
    <x:row r="238">
      <x:c r="I238" t="str">
        <x:f>IF(E238="","",COUNTIF(BAOS_ClaimType_Lens_Map!$A$2:$A$200,E238))</x:f>
      </x:c>
      <x:c r="J238" t="str">
        <x:f>IF(I238="","",SUM($I$2:I238))</x:f>
      </x:c>
    </x:row>
    <x:row r="239">
      <x:c r="I239" t="str">
        <x:f>IF(E239="","",COUNTIF(BAOS_ClaimType_Lens_Map!$A$2:$A$200,E239))</x:f>
      </x:c>
      <x:c r="J239" t="str">
        <x:f>IF(I239="","",SUM($I$2:I239))</x:f>
      </x:c>
    </x:row>
    <x:row r="240">
      <x:c r="I240" t="str">
        <x:f>IF(E240="","",COUNTIF(BAOS_ClaimType_Lens_Map!$A$2:$A$200,E240))</x:f>
      </x:c>
      <x:c r="J240" t="str">
        <x:f>IF(I240="","",SUM($I$2:I240))</x:f>
      </x:c>
    </x:row>
    <x:row r="241">
      <x:c r="I241" t="str">
        <x:f>IF(E241="","",COUNTIF(BAOS_ClaimType_Lens_Map!$A$2:$A$200,E241))</x:f>
      </x:c>
      <x:c r="J241" t="str">
        <x:f>IF(I241="","",SUM($I$2:I241))</x:f>
      </x:c>
    </x:row>
    <x:row r="242">
      <x:c r="I242" t="str">
        <x:f>IF(E242="","",COUNTIF(BAOS_ClaimType_Lens_Map!$A$2:$A$200,E242))</x:f>
      </x:c>
      <x:c r="J242" t="str">
        <x:f>IF(I242="","",SUM($I$2:I242))</x:f>
      </x:c>
    </x:row>
    <x:row r="243">
      <x:c r="I243" t="str">
        <x:f>IF(E243="","",COUNTIF(BAOS_ClaimType_Lens_Map!$A$2:$A$200,E243))</x:f>
      </x:c>
      <x:c r="J243" t="str">
        <x:f>IF(I243="","",SUM($I$2:I243))</x:f>
      </x:c>
    </x:row>
    <x:row r="244">
      <x:c r="I244" t="str">
        <x:f>IF(E244="","",COUNTIF(BAOS_ClaimType_Lens_Map!$A$2:$A$200,E244))</x:f>
      </x:c>
      <x:c r="J244" t="str">
        <x:f>IF(I244="","",SUM($I$2:I244))</x:f>
      </x:c>
    </x:row>
    <x:row r="245">
      <x:c r="I245" t="str">
        <x:f>IF(E245="","",COUNTIF(BAOS_ClaimType_Lens_Map!$A$2:$A$200,E245))</x:f>
      </x:c>
      <x:c r="J245" t="str">
        <x:f>IF(I245="","",SUM($I$2:I245))</x:f>
      </x:c>
    </x:row>
    <x:row r="246">
      <x:c r="I246" t="str">
        <x:f>IF(E246="","",COUNTIF(BAOS_ClaimType_Lens_Map!$A$2:$A$200,E246))</x:f>
      </x:c>
      <x:c r="J246" t="str">
        <x:f>IF(I246="","",SUM($I$2:I246))</x:f>
      </x:c>
    </x:row>
    <x:row r="247">
      <x:c r="I247" t="str">
        <x:f>IF(E247="","",COUNTIF(BAOS_ClaimType_Lens_Map!$A$2:$A$200,E247))</x:f>
      </x:c>
      <x:c r="J247" t="str">
        <x:f>IF(I247="","",SUM($I$2:I247))</x:f>
      </x:c>
    </x:row>
    <x:row r="248">
      <x:c r="I248" t="str">
        <x:f>IF(E248="","",COUNTIF(BAOS_ClaimType_Lens_Map!$A$2:$A$200,E248))</x:f>
      </x:c>
      <x:c r="J248" t="str">
        <x:f>IF(I248="","",SUM($I$2:I248))</x:f>
      </x:c>
    </x:row>
    <x:row r="249">
      <x:c r="I249" t="str">
        <x:f>IF(E249="","",COUNTIF(BAOS_ClaimType_Lens_Map!$A$2:$A$200,E249))</x:f>
      </x:c>
      <x:c r="J249" t="str">
        <x:f>IF(I249="","",SUM($I$2:I249))</x:f>
      </x:c>
    </x:row>
    <x:row r="250">
      <x:c r="I250" t="str">
        <x:f>IF(E250="","",COUNTIF(BAOS_ClaimType_Lens_Map!$A$2:$A$200,E250))</x:f>
      </x:c>
      <x:c r="J250" t="str">
        <x:f>IF(I250="","",SUM($I$2:I250))</x:f>
      </x:c>
    </x:row>
    <x:row r="251">
      <x:c r="I251" t="str">
        <x:f>IF(E251="","",COUNTIF(BAOS_ClaimType_Lens_Map!$A$2:$A$200,E251))</x:f>
      </x:c>
      <x:c r="J251" t="str">
        <x:f>IF(I251="","",SUM($I$2:I251))</x:f>
      </x:c>
    </x:row>
    <x:row r="252">
      <x:c r="I252" t="str">
        <x:f>IF(E252="","",COUNTIF(BAOS_ClaimType_Lens_Map!$A$2:$A$200,E252))</x:f>
      </x:c>
      <x:c r="J252" t="str">
        <x:f>IF(I252="","",SUM($I$2:I252))</x:f>
      </x:c>
    </x:row>
    <x:row r="253">
      <x:c r="I253" t="str">
        <x:f>IF(E253="","",COUNTIF(BAOS_ClaimType_Lens_Map!$A$2:$A$200,E253))</x:f>
      </x:c>
      <x:c r="J253" t="str">
        <x:f>IF(I253="","",SUM($I$2:I253))</x:f>
      </x:c>
    </x:row>
    <x:row r="254">
      <x:c r="I254" t="str">
        <x:f>IF(E254="","",COUNTIF(BAOS_ClaimType_Lens_Map!$A$2:$A$200,E254))</x:f>
      </x:c>
      <x:c r="J254" t="str">
        <x:f>IF(I254="","",SUM($I$2:I254))</x:f>
      </x:c>
    </x:row>
    <x:row r="255">
      <x:c r="I255" t="str">
        <x:f>IF(E255="","",COUNTIF(BAOS_ClaimType_Lens_Map!$A$2:$A$200,E255))</x:f>
      </x:c>
      <x:c r="J255" t="str">
        <x:f>IF(I255="","",SUM($I$2:I255))</x:f>
      </x:c>
    </x:row>
    <x:row r="256">
      <x:c r="I256" t="str">
        <x:f>IF(E256="","",COUNTIF(BAOS_ClaimType_Lens_Map!$A$2:$A$200,E256))</x:f>
      </x:c>
      <x:c r="J256" t="str">
        <x:f>IF(I256="","",SUM($I$2:I256))</x:f>
      </x:c>
    </x:row>
    <x:row r="257">
      <x:c r="I257" t="str">
        <x:f>IF(E257="","",COUNTIF(BAOS_ClaimType_Lens_Map!$A$2:$A$200,E257))</x:f>
      </x:c>
      <x:c r="J257" t="str">
        <x:f>IF(I257="","",SUM($I$2:I257))</x:f>
      </x:c>
    </x:row>
    <x:row r="258">
      <x:c r="I258" t="str">
        <x:f>IF(E258="","",COUNTIF(BAOS_ClaimType_Lens_Map!$A$2:$A$200,E258))</x:f>
      </x:c>
      <x:c r="J258" t="str">
        <x:f>IF(I258="","",SUM($I$2:I258))</x:f>
      </x:c>
    </x:row>
    <x:row r="259">
      <x:c r="I259" t="str">
        <x:f>IF(E259="","",COUNTIF(BAOS_ClaimType_Lens_Map!$A$2:$A$200,E259))</x:f>
      </x:c>
      <x:c r="J259" t="str">
        <x:f>IF(I259="","",SUM($I$2:I259))</x:f>
      </x:c>
    </x:row>
    <x:row r="260">
      <x:c r="I260" t="str">
        <x:f>IF(E260="","",COUNTIF(BAOS_ClaimType_Lens_Map!$A$2:$A$200,E260))</x:f>
      </x:c>
      <x:c r="J260" t="str">
        <x:f>IF(I260="","",SUM($I$2:I260))</x:f>
      </x:c>
    </x:row>
    <x:row r="261">
      <x:c r="I261" t="str">
        <x:f>IF(E261="","",COUNTIF(BAOS_ClaimType_Lens_Map!$A$2:$A$200,E261))</x:f>
      </x:c>
      <x:c r="J261" t="str">
        <x:f>IF(I261="","",SUM($I$2:I261))</x:f>
      </x:c>
    </x:row>
    <x:row r="262">
      <x:c r="I262" t="str">
        <x:f>IF(E262="","",COUNTIF(BAOS_ClaimType_Lens_Map!$A$2:$A$200,E262))</x:f>
      </x:c>
      <x:c r="J262" t="str">
        <x:f>IF(I262="","",SUM($I$2:I262))</x:f>
      </x:c>
    </x:row>
    <x:row r="263">
      <x:c r="I263" t="str">
        <x:f>IF(E263="","",COUNTIF(BAOS_ClaimType_Lens_Map!$A$2:$A$200,E263))</x:f>
      </x:c>
      <x:c r="J263" t="str">
        <x:f>IF(I263="","",SUM($I$2:I263))</x:f>
      </x:c>
    </x:row>
    <x:row r="264">
      <x:c r="I264" t="str">
        <x:f>IF(E264="","",COUNTIF(BAOS_ClaimType_Lens_Map!$A$2:$A$200,E264))</x:f>
      </x:c>
      <x:c r="J264" t="str">
        <x:f>IF(I264="","",SUM($I$2:I264))</x:f>
      </x:c>
    </x:row>
    <x:row r="265">
      <x:c r="I265" t="str">
        <x:f>IF(E265="","",COUNTIF(BAOS_ClaimType_Lens_Map!$A$2:$A$200,E265))</x:f>
      </x:c>
      <x:c r="J265" t="str">
        <x:f>IF(I265="","",SUM($I$2:I265))</x:f>
      </x:c>
    </x:row>
    <x:row r="266">
      <x:c r="I266" t="str">
        <x:f>IF(E266="","",COUNTIF(BAOS_ClaimType_Lens_Map!$A$2:$A$200,E266))</x:f>
      </x:c>
      <x:c r="J266" t="str">
        <x:f>IF(I266="","",SUM($I$2:I266))</x:f>
      </x:c>
    </x:row>
    <x:row r="267">
      <x:c r="I267" t="str">
        <x:f>IF(E267="","",COUNTIF(BAOS_ClaimType_Lens_Map!$A$2:$A$200,E267))</x:f>
      </x:c>
      <x:c r="J267" t="str">
        <x:f>IF(I267="","",SUM($I$2:I267))</x:f>
      </x:c>
    </x:row>
    <x:row r="268">
      <x:c r="I268" t="str">
        <x:f>IF(E268="","",COUNTIF(BAOS_ClaimType_Lens_Map!$A$2:$A$200,E268))</x:f>
      </x:c>
      <x:c r="J268" t="str">
        <x:f>IF(I268="","",SUM($I$2:I268))</x:f>
      </x:c>
    </x:row>
    <x:row r="269">
      <x:c r="I269" t="str">
        <x:f>IF(E269="","",COUNTIF(BAOS_ClaimType_Lens_Map!$A$2:$A$200,E269))</x:f>
      </x:c>
      <x:c r="J269" t="str">
        <x:f>IF(I269="","",SUM($I$2:I269))</x:f>
      </x:c>
    </x:row>
    <x:row r="270">
      <x:c r="I270" t="str">
        <x:f>IF(E270="","",COUNTIF(BAOS_ClaimType_Lens_Map!$A$2:$A$200,E270))</x:f>
      </x:c>
      <x:c r="J270" t="str">
        <x:f>IF(I270="","",SUM($I$2:I270))</x:f>
      </x:c>
    </x:row>
    <x:row r="271">
      <x:c r="I271" t="str">
        <x:f>IF(E271="","",COUNTIF(BAOS_ClaimType_Lens_Map!$A$2:$A$200,E271))</x:f>
      </x:c>
      <x:c r="J271" t="str">
        <x:f>IF(I271="","",SUM($I$2:I271))</x:f>
      </x:c>
    </x:row>
    <x:row r="272">
      <x:c r="I272" t="str">
        <x:f>IF(E272="","",COUNTIF(BAOS_ClaimType_Lens_Map!$A$2:$A$200,E272))</x:f>
      </x:c>
      <x:c r="J272" t="str">
        <x:f>IF(I272="","",SUM($I$2:I272))</x:f>
      </x:c>
    </x:row>
    <x:row r="273">
      <x:c r="I273" t="str">
        <x:f>IF(E273="","",COUNTIF(BAOS_ClaimType_Lens_Map!$A$2:$A$200,E273))</x:f>
      </x:c>
      <x:c r="J273" t="str">
        <x:f>IF(I273="","",SUM($I$2:I273))</x:f>
      </x:c>
    </x:row>
    <x:row r="274">
      <x:c r="I274" t="str">
        <x:f>IF(E274="","",COUNTIF(BAOS_ClaimType_Lens_Map!$A$2:$A$200,E274))</x:f>
      </x:c>
      <x:c r="J274" t="str">
        <x:f>IF(I274="","",SUM($I$2:I274))</x:f>
      </x:c>
    </x:row>
    <x:row r="275">
      <x:c r="I275" t="str">
        <x:f>IF(E275="","",COUNTIF(BAOS_ClaimType_Lens_Map!$A$2:$A$200,E275))</x:f>
      </x:c>
      <x:c r="J275" t="str">
        <x:f>IF(I275="","",SUM($I$2:I275))</x:f>
      </x:c>
    </x:row>
    <x:row r="276">
      <x:c r="I276" t="str">
        <x:f>IF(E276="","",COUNTIF(BAOS_ClaimType_Lens_Map!$A$2:$A$200,E276))</x:f>
      </x:c>
      <x:c r="J276" t="str">
        <x:f>IF(I276="","",SUM($I$2:I276))</x:f>
      </x:c>
    </x:row>
    <x:row r="277">
      <x:c r="I277" t="str">
        <x:f>IF(E277="","",COUNTIF(BAOS_ClaimType_Lens_Map!$A$2:$A$200,E277))</x:f>
      </x:c>
      <x:c r="J277" t="str">
        <x:f>IF(I277="","",SUM($I$2:I277))</x:f>
      </x:c>
    </x:row>
    <x:row r="278">
      <x:c r="I278" t="str">
        <x:f>IF(E278="","",COUNTIF(BAOS_ClaimType_Lens_Map!$A$2:$A$200,E278))</x:f>
      </x:c>
      <x:c r="J278" t="str">
        <x:f>IF(I278="","",SUM($I$2:I278))</x:f>
      </x:c>
    </x:row>
    <x:row r="279">
      <x:c r="I279" t="str">
        <x:f>IF(E279="","",COUNTIF(BAOS_ClaimType_Lens_Map!$A$2:$A$200,E279))</x:f>
      </x:c>
      <x:c r="J279" t="str">
        <x:f>IF(I279="","",SUM($I$2:I279))</x:f>
      </x:c>
    </x:row>
    <x:row r="280">
      <x:c r="I280" t="str">
        <x:f>IF(E280="","",COUNTIF(BAOS_ClaimType_Lens_Map!$A$2:$A$200,E280))</x:f>
      </x:c>
      <x:c r="J280" t="str">
        <x:f>IF(I280="","",SUM($I$2:I280))</x:f>
      </x:c>
    </x:row>
    <x:row r="281">
      <x:c r="I281" t="str">
        <x:f>IF(E281="","",COUNTIF(BAOS_ClaimType_Lens_Map!$A$2:$A$200,E281))</x:f>
      </x:c>
      <x:c r="J281" t="str">
        <x:f>IF(I281="","",SUM($I$2:I281))</x:f>
      </x:c>
    </x:row>
    <x:row r="282">
      <x:c r="I282" t="str">
        <x:f>IF(E282="","",COUNTIF(BAOS_ClaimType_Lens_Map!$A$2:$A$200,E282))</x:f>
      </x:c>
      <x:c r="J282" t="str">
        <x:f>IF(I282="","",SUM($I$2:I282))</x:f>
      </x:c>
    </x:row>
    <x:row r="283">
      <x:c r="I283" t="str">
        <x:f>IF(E283="","",COUNTIF(BAOS_ClaimType_Lens_Map!$A$2:$A$200,E283))</x:f>
      </x:c>
      <x:c r="J283" t="str">
        <x:f>IF(I283="","",SUM($I$2:I283))</x:f>
      </x:c>
    </x:row>
    <x:row r="284">
      <x:c r="I284" t="str">
        <x:f>IF(E284="","",COUNTIF(BAOS_ClaimType_Lens_Map!$A$2:$A$200,E284))</x:f>
      </x:c>
      <x:c r="J284" t="str">
        <x:f>IF(I284="","",SUM($I$2:I284))</x:f>
      </x:c>
    </x:row>
    <x:row r="285">
      <x:c r="I285" t="str">
        <x:f>IF(E285="","",COUNTIF(BAOS_ClaimType_Lens_Map!$A$2:$A$200,E285))</x:f>
      </x:c>
      <x:c r="J285" t="str">
        <x:f>IF(I285="","",SUM($I$2:I285))</x:f>
      </x:c>
    </x:row>
    <x:row r="286">
      <x:c r="I286" t="str">
        <x:f>IF(E286="","",COUNTIF(BAOS_ClaimType_Lens_Map!$A$2:$A$200,E286))</x:f>
      </x:c>
      <x:c r="J286" t="str">
        <x:f>IF(I286="","",SUM($I$2:I286))</x:f>
      </x:c>
    </x:row>
    <x:row r="287">
      <x:c r="I287" t="str">
        <x:f>IF(E287="","",COUNTIF(BAOS_ClaimType_Lens_Map!$A$2:$A$200,E287))</x:f>
      </x:c>
      <x:c r="J287" t="str">
        <x:f>IF(I287="","",SUM($I$2:I287))</x:f>
      </x:c>
    </x:row>
    <x:row r="288">
      <x:c r="I288" t="str">
        <x:f>IF(E288="","",COUNTIF(BAOS_ClaimType_Lens_Map!$A$2:$A$200,E288))</x:f>
      </x:c>
      <x:c r="J288" t="str">
        <x:f>IF(I288="","",SUM($I$2:I288))</x:f>
      </x:c>
    </x:row>
    <x:row r="289">
      <x:c r="I289" t="str">
        <x:f>IF(E289="","",COUNTIF(BAOS_ClaimType_Lens_Map!$A$2:$A$200,E289))</x:f>
      </x:c>
      <x:c r="J289" t="str">
        <x:f>IF(I289="","",SUM($I$2:I289))</x:f>
      </x:c>
    </x:row>
    <x:row r="290">
      <x:c r="I290" t="str">
        <x:f>IF(E290="","",COUNTIF(BAOS_ClaimType_Lens_Map!$A$2:$A$200,E290))</x:f>
      </x:c>
      <x:c r="J290" t="str">
        <x:f>IF(I290="","",SUM($I$2:I290))</x:f>
      </x:c>
    </x:row>
    <x:row r="291">
      <x:c r="I291" t="str">
        <x:f>IF(E291="","",COUNTIF(BAOS_ClaimType_Lens_Map!$A$2:$A$200,E291))</x:f>
      </x:c>
      <x:c r="J291" t="str">
        <x:f>IF(I291="","",SUM($I$2:I291))</x:f>
      </x:c>
    </x:row>
    <x:row r="292">
      <x:c r="I292" t="str">
        <x:f>IF(E292="","",COUNTIF(BAOS_ClaimType_Lens_Map!$A$2:$A$200,E292))</x:f>
      </x:c>
      <x:c r="J292" t="str">
        <x:f>IF(I292="","",SUM($I$2:I292))</x:f>
      </x:c>
    </x:row>
    <x:row r="293">
      <x:c r="I293" t="str">
        <x:f>IF(E293="","",COUNTIF(BAOS_ClaimType_Lens_Map!$A$2:$A$200,E293))</x:f>
      </x:c>
      <x:c r="J293" t="str">
        <x:f>IF(I293="","",SUM($I$2:I293))</x:f>
      </x:c>
    </x:row>
    <x:row r="294">
      <x:c r="I294" t="str">
        <x:f>IF(E294="","",COUNTIF(BAOS_ClaimType_Lens_Map!$A$2:$A$200,E294))</x:f>
      </x:c>
      <x:c r="J294" t="str">
        <x:f>IF(I294="","",SUM($I$2:I294))</x:f>
      </x:c>
    </x:row>
    <x:row r="295">
      <x:c r="I295" t="str">
        <x:f>IF(E295="","",COUNTIF(BAOS_ClaimType_Lens_Map!$A$2:$A$200,E295))</x:f>
      </x:c>
      <x:c r="J295" t="str">
        <x:f>IF(I295="","",SUM($I$2:I295))</x:f>
      </x:c>
    </x:row>
    <x:row r="296">
      <x:c r="I296" t="str">
        <x:f>IF(E296="","",COUNTIF(BAOS_ClaimType_Lens_Map!$A$2:$A$200,E296))</x:f>
      </x:c>
      <x:c r="J296" t="str">
        <x:f>IF(I296="","",SUM($I$2:I296))</x:f>
      </x:c>
    </x:row>
    <x:row r="297">
      <x:c r="I297" t="str">
        <x:f>IF(E297="","",COUNTIF(BAOS_ClaimType_Lens_Map!$A$2:$A$200,E297))</x:f>
      </x:c>
      <x:c r="J297" t="str">
        <x:f>IF(I297="","",SUM($I$2:I297))</x:f>
      </x:c>
    </x:row>
    <x:row r="298">
      <x:c r="I298" t="str">
        <x:f>IF(E298="","",COUNTIF(BAOS_ClaimType_Lens_Map!$A$2:$A$200,E298))</x:f>
      </x:c>
      <x:c r="J298" t="str">
        <x:f>IF(I298="","",SUM($I$2:I298))</x:f>
      </x:c>
    </x:row>
    <x:row r="299">
      <x:c r="I299" t="str">
        <x:f>IF(E299="","",COUNTIF(BAOS_ClaimType_Lens_Map!$A$2:$A$200,E299))</x:f>
      </x:c>
      <x:c r="J299" t="str">
        <x:f>IF(I299="","",SUM($I$2:I299))</x:f>
      </x:c>
    </x:row>
    <x:row r="300">
      <x:c r="I300" t="str">
        <x:f>IF(E300="","",COUNTIF(BAOS_ClaimType_Lens_Map!$A$2:$A$200,E300))</x:f>
      </x:c>
      <x:c r="J300" t="str">
        <x:f>IF(I300="","",SUM($I$2:I300))</x:f>
      </x:c>
    </x:row>
    <x:row r="301">
      <x:c r="I301" t="str">
        <x:f>IF(E301="","",COUNTIF(BAOS_ClaimType_Lens_Map!$A$2:$A$200,E301))</x:f>
      </x:c>
      <x:c r="J301" t="str">
        <x:f>IF(I301="","",SUM($I$2:I301))</x:f>
      </x:c>
    </x:row>
    <x:row r="302">
      <x:c r="I302" t="str">
        <x:f>IF(E302="","",COUNTIF(BAOS_ClaimType_Lens_Map!$A$2:$A$200,E302))</x:f>
      </x:c>
      <x:c r="J302" t="str">
        <x:f>IF(I302="","",SUM($I$2:I302))</x:f>
      </x:c>
    </x:row>
    <x:row r="303">
      <x:c r="I303" t="str">
        <x:f>IF(E303="","",COUNTIF(BAOS_ClaimType_Lens_Map!$A$2:$A$200,E303))</x:f>
      </x:c>
      <x:c r="J303" t="str">
        <x:f>IF(I303="","",SUM($I$2:I303))</x:f>
      </x:c>
    </x:row>
    <x:row r="304">
      <x:c r="I304" t="str">
        <x:f>IF(E304="","",COUNTIF(BAOS_ClaimType_Lens_Map!$A$2:$A$200,E304))</x:f>
      </x:c>
      <x:c r="J304" t="str">
        <x:f>IF(I304="","",SUM($I$2:I304))</x:f>
      </x:c>
    </x:row>
    <x:row r="305">
      <x:c r="I305" t="str">
        <x:f>IF(E305="","",COUNTIF(BAOS_ClaimType_Lens_Map!$A$2:$A$200,E305))</x:f>
      </x:c>
      <x:c r="J305" t="str">
        <x:f>IF(I305="","",SUM($I$2:I305))</x:f>
      </x:c>
    </x:row>
    <x:row r="306">
      <x:c r="I306" t="str">
        <x:f>IF(E306="","",COUNTIF(BAOS_ClaimType_Lens_Map!$A$2:$A$200,E306))</x:f>
      </x:c>
      <x:c r="J306" t="str">
        <x:f>IF(I306="","",SUM($I$2:I306))</x:f>
      </x:c>
    </x:row>
    <x:row r="307">
      <x:c r="I307" t="str">
        <x:f>IF(E307="","",COUNTIF(BAOS_ClaimType_Lens_Map!$A$2:$A$200,E307))</x:f>
      </x:c>
      <x:c r="J307" t="str">
        <x:f>IF(I307="","",SUM($I$2:I307))</x:f>
      </x:c>
    </x:row>
    <x:row r="308">
      <x:c r="I308" t="str">
        <x:f>IF(E308="","",COUNTIF(BAOS_ClaimType_Lens_Map!$A$2:$A$200,E308))</x:f>
      </x:c>
      <x:c r="J308" t="str">
        <x:f>IF(I308="","",SUM($I$2:I308))</x:f>
      </x:c>
    </x:row>
    <x:row r="309">
      <x:c r="I309" t="str">
        <x:f>IF(E309="","",COUNTIF(BAOS_ClaimType_Lens_Map!$A$2:$A$200,E309))</x:f>
      </x:c>
      <x:c r="J309" t="str">
        <x:f>IF(I309="","",SUM($I$2:I309))</x:f>
      </x:c>
    </x:row>
    <x:row r="310">
      <x:c r="I310" t="str">
        <x:f>IF(E310="","",COUNTIF(BAOS_ClaimType_Lens_Map!$A$2:$A$200,E310))</x:f>
      </x:c>
      <x:c r="J310" t="str">
        <x:f>IF(I310="","",SUM($I$2:I310))</x:f>
      </x:c>
    </x:row>
    <x:row r="311">
      <x:c r="I311" t="str">
        <x:f>IF(E311="","",COUNTIF(BAOS_ClaimType_Lens_Map!$A$2:$A$200,E311))</x:f>
      </x:c>
      <x:c r="J311" t="str">
        <x:f>IF(I311="","",SUM($I$2:I311))</x:f>
      </x:c>
    </x:row>
    <x:row r="312">
      <x:c r="I312" t="str">
        <x:f>IF(E312="","",COUNTIF(BAOS_ClaimType_Lens_Map!$A$2:$A$200,E312))</x:f>
      </x:c>
      <x:c r="J312" t="str">
        <x:f>IF(I312="","",SUM($I$2:I312))</x:f>
      </x:c>
    </x:row>
    <x:row r="313">
      <x:c r="I313" t="str">
        <x:f>IF(E313="","",COUNTIF(BAOS_ClaimType_Lens_Map!$A$2:$A$200,E313))</x:f>
      </x:c>
      <x:c r="J313" t="str">
        <x:f>IF(I313="","",SUM($I$2:I313))</x:f>
      </x:c>
    </x:row>
    <x:row r="314">
      <x:c r="I314" t="str">
        <x:f>IF(E314="","",COUNTIF(BAOS_ClaimType_Lens_Map!$A$2:$A$200,E314))</x:f>
      </x:c>
      <x:c r="J314" t="str">
        <x:f>IF(I314="","",SUM($I$2:I314))</x:f>
      </x:c>
    </x:row>
    <x:row r="315">
      <x:c r="I315" t="str">
        <x:f>IF(E315="","",COUNTIF(BAOS_ClaimType_Lens_Map!$A$2:$A$200,E315))</x:f>
      </x:c>
      <x:c r="J315" t="str">
        <x:f>IF(I315="","",SUM($I$2:I315))</x:f>
      </x:c>
    </x:row>
    <x:row r="316">
      <x:c r="I316" t="str">
        <x:f>IF(E316="","",COUNTIF(BAOS_ClaimType_Lens_Map!$A$2:$A$200,E316))</x:f>
      </x:c>
      <x:c r="J316" t="str">
        <x:f>IF(I316="","",SUM($I$2:I316))</x:f>
      </x:c>
    </x:row>
    <x:row r="317">
      <x:c r="I317" t="str">
        <x:f>IF(E317="","",COUNTIF(BAOS_ClaimType_Lens_Map!$A$2:$A$200,E317))</x:f>
      </x:c>
      <x:c r="J317" t="str">
        <x:f>IF(I317="","",SUM($I$2:I317))</x:f>
      </x:c>
    </x:row>
    <x:row r="318">
      <x:c r="I318" t="str">
        <x:f>IF(E318="","",COUNTIF(BAOS_ClaimType_Lens_Map!$A$2:$A$200,E318))</x:f>
      </x:c>
      <x:c r="J318" t="str">
        <x:f>IF(I318="","",SUM($I$2:I318))</x:f>
      </x:c>
    </x:row>
    <x:row r="319">
      <x:c r="I319" t="str">
        <x:f>IF(E319="","",COUNTIF(BAOS_ClaimType_Lens_Map!$A$2:$A$200,E319))</x:f>
      </x:c>
      <x:c r="J319" t="str">
        <x:f>IF(I319="","",SUM($I$2:I319))</x:f>
      </x:c>
    </x:row>
    <x:row r="320">
      <x:c r="I320" t="str">
        <x:f>IF(E320="","",COUNTIF(BAOS_ClaimType_Lens_Map!$A$2:$A$200,E320))</x:f>
      </x:c>
      <x:c r="J320" t="str">
        <x:f>IF(I320="","",SUM($I$2:I320))</x:f>
      </x:c>
    </x:row>
    <x:row r="321">
      <x:c r="I321" t="str">
        <x:f>IF(E321="","",COUNTIF(BAOS_ClaimType_Lens_Map!$A$2:$A$200,E321))</x:f>
      </x:c>
      <x:c r="J321" t="str">
        <x:f>IF(I321="","",SUM($I$2:I321))</x:f>
      </x:c>
    </x:row>
    <x:row r="322">
      <x:c r="I322" t="str">
        <x:f>IF(E322="","",COUNTIF(BAOS_ClaimType_Lens_Map!$A$2:$A$200,E322))</x:f>
      </x:c>
      <x:c r="J322" t="str">
        <x:f>IF(I322="","",SUM($I$2:I322))</x:f>
      </x:c>
    </x:row>
    <x:row r="323">
      <x:c r="I323" t="str">
        <x:f>IF(E323="","",COUNTIF(BAOS_ClaimType_Lens_Map!$A$2:$A$200,E323))</x:f>
      </x:c>
      <x:c r="J323" t="str">
        <x:f>IF(I323="","",SUM($I$2:I323))</x:f>
      </x:c>
    </x:row>
    <x:row r="324">
      <x:c r="I324" t="str">
        <x:f>IF(E324="","",COUNTIF(BAOS_ClaimType_Lens_Map!$A$2:$A$200,E324))</x:f>
      </x:c>
      <x:c r="J324" t="str">
        <x:f>IF(I324="","",SUM($I$2:I324))</x:f>
      </x:c>
    </x:row>
    <x:row r="325">
      <x:c r="I325" t="str">
        <x:f>IF(E325="","",COUNTIF(BAOS_ClaimType_Lens_Map!$A$2:$A$200,E325))</x:f>
      </x:c>
      <x:c r="J325" t="str">
        <x:f>IF(I325="","",SUM($I$2:I325))</x:f>
      </x:c>
    </x:row>
    <x:row r="326">
      <x:c r="I326" t="str">
        <x:f>IF(E326="","",COUNTIF(BAOS_ClaimType_Lens_Map!$A$2:$A$200,E326))</x:f>
      </x:c>
      <x:c r="J326" t="str">
        <x:f>IF(I326="","",SUM($I$2:I326))</x:f>
      </x:c>
    </x:row>
    <x:row r="327">
      <x:c r="I327" t="str">
        <x:f>IF(E327="","",COUNTIF(BAOS_ClaimType_Lens_Map!$A$2:$A$200,E327))</x:f>
      </x:c>
      <x:c r="J327" t="str">
        <x:f>IF(I327="","",SUM($I$2:I327))</x:f>
      </x:c>
    </x:row>
    <x:row r="328">
      <x:c r="I328" t="str">
        <x:f>IF(E328="","",COUNTIF(BAOS_ClaimType_Lens_Map!$A$2:$A$200,E328))</x:f>
      </x:c>
      <x:c r="J328" t="str">
        <x:f>IF(I328="","",SUM($I$2:I328))</x:f>
      </x:c>
    </x:row>
    <x:row r="329">
      <x:c r="I329" t="str">
        <x:f>IF(E329="","",COUNTIF(BAOS_ClaimType_Lens_Map!$A$2:$A$200,E329))</x:f>
      </x:c>
      <x:c r="J329" t="str">
        <x:f>IF(I329="","",SUM($I$2:I329))</x:f>
      </x:c>
    </x:row>
    <x:row r="330">
      <x:c r="I330" t="str">
        <x:f>IF(E330="","",COUNTIF(BAOS_ClaimType_Lens_Map!$A$2:$A$200,E330))</x:f>
      </x:c>
      <x:c r="J330" t="str">
        <x:f>IF(I330="","",SUM($I$2:I330))</x:f>
      </x:c>
    </x:row>
    <x:row r="331">
      <x:c r="I331" t="str">
        <x:f>IF(E331="","",COUNTIF(BAOS_ClaimType_Lens_Map!$A$2:$A$200,E331))</x:f>
      </x:c>
      <x:c r="J331" t="str">
        <x:f>IF(I331="","",SUM($I$2:I331))</x:f>
      </x:c>
    </x:row>
    <x:row r="332">
      <x:c r="I332" t="str">
        <x:f>IF(E332="","",COUNTIF(BAOS_ClaimType_Lens_Map!$A$2:$A$200,E332))</x:f>
      </x:c>
      <x:c r="J332" t="str">
        <x:f>IF(I332="","",SUM($I$2:I332))</x:f>
      </x:c>
    </x:row>
    <x:row r="333">
      <x:c r="I333" t="str">
        <x:f>IF(E333="","",COUNTIF(BAOS_ClaimType_Lens_Map!$A$2:$A$200,E333))</x:f>
      </x:c>
      <x:c r="J333" t="str">
        <x:f>IF(I333="","",SUM($I$2:I333))</x:f>
      </x:c>
    </x:row>
    <x:row r="334">
      <x:c r="I334" t="str">
        <x:f>IF(E334="","",COUNTIF(BAOS_ClaimType_Lens_Map!$A$2:$A$200,E334))</x:f>
      </x:c>
      <x:c r="J334" t="str">
        <x:f>IF(I334="","",SUM($I$2:I334))</x:f>
      </x:c>
    </x:row>
    <x:row r="335">
      <x:c r="I335" t="str">
        <x:f>IF(E335="","",COUNTIF(BAOS_ClaimType_Lens_Map!$A$2:$A$200,E335))</x:f>
      </x:c>
      <x:c r="J335" t="str">
        <x:f>IF(I335="","",SUM($I$2:I335))</x:f>
      </x:c>
    </x:row>
    <x:row r="336">
      <x:c r="I336" t="str">
        <x:f>IF(E336="","",COUNTIF(BAOS_ClaimType_Lens_Map!$A$2:$A$200,E336))</x:f>
      </x:c>
      <x:c r="J336" t="str">
        <x:f>IF(I336="","",SUM($I$2:I336))</x:f>
      </x:c>
    </x:row>
    <x:row r="337">
      <x:c r="I337" t="str">
        <x:f>IF(E337="","",COUNTIF(BAOS_ClaimType_Lens_Map!$A$2:$A$200,E337))</x:f>
      </x:c>
      <x:c r="J337" t="str">
        <x:f>IF(I337="","",SUM($I$2:I337))</x:f>
      </x:c>
    </x:row>
    <x:row r="338">
      <x:c r="I338" t="str">
        <x:f>IF(E338="","",COUNTIF(BAOS_ClaimType_Lens_Map!$A$2:$A$200,E338))</x:f>
      </x:c>
      <x:c r="J338" t="str">
        <x:f>IF(I338="","",SUM($I$2:I338))</x:f>
      </x:c>
    </x:row>
    <x:row r="339">
      <x:c r="I339" t="str">
        <x:f>IF(E339="","",COUNTIF(BAOS_ClaimType_Lens_Map!$A$2:$A$200,E339))</x:f>
      </x:c>
      <x:c r="J339" t="str">
        <x:f>IF(I339="","",SUM($I$2:I339))</x:f>
      </x:c>
    </x:row>
    <x:row r="340">
      <x:c r="I340" t="str">
        <x:f>IF(E340="","",COUNTIF(BAOS_ClaimType_Lens_Map!$A$2:$A$200,E340))</x:f>
      </x:c>
      <x:c r="J340" t="str">
        <x:f>IF(I340="","",SUM($I$2:I340))</x:f>
      </x:c>
    </x:row>
    <x:row r="341">
      <x:c r="I341" t="str">
        <x:f>IF(E341="","",COUNTIF(BAOS_ClaimType_Lens_Map!$A$2:$A$200,E341))</x:f>
      </x:c>
      <x:c r="J341" t="str">
        <x:f>IF(I341="","",SUM($I$2:I341))</x:f>
      </x:c>
    </x:row>
    <x:row r="342">
      <x:c r="I342" t="str">
        <x:f>IF(E342="","",COUNTIF(BAOS_ClaimType_Lens_Map!$A$2:$A$200,E342))</x:f>
      </x:c>
      <x:c r="J342" t="str">
        <x:f>IF(I342="","",SUM($I$2:I342))</x:f>
      </x:c>
    </x:row>
    <x:row r="343">
      <x:c r="I343" t="str">
        <x:f>IF(E343="","",COUNTIF(BAOS_ClaimType_Lens_Map!$A$2:$A$200,E343))</x:f>
      </x:c>
      <x:c r="J343" t="str">
        <x:f>IF(I343="","",SUM($I$2:I343))</x:f>
      </x:c>
    </x:row>
    <x:row r="344">
      <x:c r="I344" t="str">
        <x:f>IF(E344="","",COUNTIF(BAOS_ClaimType_Lens_Map!$A$2:$A$200,E344))</x:f>
      </x:c>
      <x:c r="J344" t="str">
        <x:f>IF(I344="","",SUM($I$2:I344))</x:f>
      </x:c>
    </x:row>
    <x:row r="345">
      <x:c r="I345" t="str">
        <x:f>IF(E345="","",COUNTIF(BAOS_ClaimType_Lens_Map!$A$2:$A$200,E345))</x:f>
      </x:c>
      <x:c r="J345" t="str">
        <x:f>IF(I345="","",SUM($I$2:I345))</x:f>
      </x:c>
    </x:row>
    <x:row r="346">
      <x:c r="I346" t="str">
        <x:f>IF(E346="","",COUNTIF(BAOS_ClaimType_Lens_Map!$A$2:$A$200,E346))</x:f>
      </x:c>
      <x:c r="J346" t="str">
        <x:f>IF(I346="","",SUM($I$2:I346))</x:f>
      </x:c>
    </x:row>
    <x:row r="347">
      <x:c r="I347" t="str">
        <x:f>IF(E347="","",COUNTIF(BAOS_ClaimType_Lens_Map!$A$2:$A$200,E347))</x:f>
      </x:c>
      <x:c r="J347" t="str">
        <x:f>IF(I347="","",SUM($I$2:I347))</x:f>
      </x:c>
    </x:row>
    <x:row r="348">
      <x:c r="I348" t="str">
        <x:f>IF(E348="","",COUNTIF(BAOS_ClaimType_Lens_Map!$A$2:$A$200,E348))</x:f>
      </x:c>
      <x:c r="J348" t="str">
        <x:f>IF(I348="","",SUM($I$2:I348))</x:f>
      </x:c>
    </x:row>
    <x:row r="349">
      <x:c r="I349" t="str">
        <x:f>IF(E349="","",COUNTIF(BAOS_ClaimType_Lens_Map!$A$2:$A$200,E349))</x:f>
      </x:c>
      <x:c r="J349" t="str">
        <x:f>IF(I349="","",SUM($I$2:I349))</x:f>
      </x:c>
    </x:row>
    <x:row r="350">
      <x:c r="I350" t="str">
        <x:f>IF(E350="","",COUNTIF(BAOS_ClaimType_Lens_Map!$A$2:$A$200,E350))</x:f>
      </x:c>
      <x:c r="J350" t="str">
        <x:f>IF(I350="","",SUM($I$2:I350))</x:f>
      </x:c>
    </x:row>
    <x:row r="351">
      <x:c r="I351" t="str">
        <x:f>IF(E351="","",COUNTIF(BAOS_ClaimType_Lens_Map!$A$2:$A$200,E351))</x:f>
      </x:c>
      <x:c r="J351" t="str">
        <x:f>IF(I351="","",SUM($I$2:I351))</x:f>
      </x:c>
    </x:row>
    <x:row r="352">
      <x:c r="I352" t="str">
        <x:f>IF(E352="","",COUNTIF(BAOS_ClaimType_Lens_Map!$A$2:$A$200,E352))</x:f>
      </x:c>
      <x:c r="J352" t="str">
        <x:f>IF(I352="","",SUM($I$2:I352))</x:f>
      </x:c>
    </x:row>
    <x:row r="353">
      <x:c r="I353" t="str">
        <x:f>IF(E353="","",COUNTIF(BAOS_ClaimType_Lens_Map!$A$2:$A$200,E353))</x:f>
      </x:c>
      <x:c r="J353" t="str">
        <x:f>IF(I353="","",SUM($I$2:I353))</x:f>
      </x:c>
    </x:row>
    <x:row r="354">
      <x:c r="I354" t="str">
        <x:f>IF(E354="","",COUNTIF(BAOS_ClaimType_Lens_Map!$A$2:$A$200,E354))</x:f>
      </x:c>
      <x:c r="J354" t="str">
        <x:f>IF(I354="","",SUM($I$2:I354))</x:f>
      </x:c>
    </x:row>
    <x:row r="355">
      <x:c r="I355" t="str">
        <x:f>IF(E355="","",COUNTIF(BAOS_ClaimType_Lens_Map!$A$2:$A$200,E355))</x:f>
      </x:c>
      <x:c r="J355" t="str">
        <x:f>IF(I355="","",SUM($I$2:I355))</x:f>
      </x:c>
    </x:row>
    <x:row r="356">
      <x:c r="I356" t="str">
        <x:f>IF(E356="","",COUNTIF(BAOS_ClaimType_Lens_Map!$A$2:$A$200,E356))</x:f>
      </x:c>
      <x:c r="J356" t="str">
        <x:f>IF(I356="","",SUM($I$2:I356))</x:f>
      </x:c>
    </x:row>
    <x:row r="357">
      <x:c r="I357" t="str">
        <x:f>IF(E357="","",COUNTIF(BAOS_ClaimType_Lens_Map!$A$2:$A$200,E357))</x:f>
      </x:c>
      <x:c r="J357" t="str">
        <x:f>IF(I357="","",SUM($I$2:I357))</x:f>
      </x:c>
    </x:row>
    <x:row r="358">
      <x:c r="I358" t="str">
        <x:f>IF(E358="","",COUNTIF(BAOS_ClaimType_Lens_Map!$A$2:$A$200,E358))</x:f>
      </x:c>
      <x:c r="J358" t="str">
        <x:f>IF(I358="","",SUM($I$2:I358))</x:f>
      </x:c>
    </x:row>
    <x:row r="359">
      <x:c r="I359" t="str">
        <x:f>IF(E359="","",COUNTIF(BAOS_ClaimType_Lens_Map!$A$2:$A$200,E359))</x:f>
      </x:c>
      <x:c r="J359" t="str">
        <x:f>IF(I359="","",SUM($I$2:I359))</x:f>
      </x:c>
    </x:row>
    <x:row r="360">
      <x:c r="I360" t="str">
        <x:f>IF(E360="","",COUNTIF(BAOS_ClaimType_Lens_Map!$A$2:$A$200,E360))</x:f>
      </x:c>
      <x:c r="J360" t="str">
        <x:f>IF(I360="","",SUM($I$2:I360))</x:f>
      </x:c>
    </x:row>
    <x:row r="361">
      <x:c r="I361" t="str">
        <x:f>IF(E361="","",COUNTIF(BAOS_ClaimType_Lens_Map!$A$2:$A$200,E361))</x:f>
      </x:c>
      <x:c r="J361" t="str">
        <x:f>IF(I361="","",SUM($I$2:I361))</x:f>
      </x:c>
    </x:row>
    <x:row r="362">
      <x:c r="I362" t="str">
        <x:f>IF(E362="","",COUNTIF(BAOS_ClaimType_Lens_Map!$A$2:$A$200,E362))</x:f>
      </x:c>
      <x:c r="J362" t="str">
        <x:f>IF(I362="","",SUM($I$2:I362))</x:f>
      </x:c>
    </x:row>
    <x:row r="363">
      <x:c r="I363" t="str">
        <x:f>IF(E363="","",COUNTIF(BAOS_ClaimType_Lens_Map!$A$2:$A$200,E363))</x:f>
      </x:c>
      <x:c r="J363" t="str">
        <x:f>IF(I363="","",SUM($I$2:I363))</x:f>
      </x:c>
    </x:row>
    <x:row r="364">
      <x:c r="I364" t="str">
        <x:f>IF(E364="","",COUNTIF(BAOS_ClaimType_Lens_Map!$A$2:$A$200,E364))</x:f>
      </x:c>
      <x:c r="J364" t="str">
        <x:f>IF(I364="","",SUM($I$2:I364))</x:f>
      </x:c>
    </x:row>
    <x:row r="365">
      <x:c r="I365" t="str">
        <x:f>IF(E365="","",COUNTIF(BAOS_ClaimType_Lens_Map!$A$2:$A$200,E365))</x:f>
      </x:c>
      <x:c r="J365" t="str">
        <x:f>IF(I365="","",SUM($I$2:I365))</x:f>
      </x:c>
    </x:row>
    <x:row r="366">
      <x:c r="I366" t="str">
        <x:f>IF(E366="","",COUNTIF(BAOS_ClaimType_Lens_Map!$A$2:$A$200,E366))</x:f>
      </x:c>
      <x:c r="J366" t="str">
        <x:f>IF(I366="","",SUM($I$2:I366))</x:f>
      </x:c>
    </x:row>
    <x:row r="367">
      <x:c r="I367" t="str">
        <x:f>IF(E367="","",COUNTIF(BAOS_ClaimType_Lens_Map!$A$2:$A$200,E367))</x:f>
      </x:c>
      <x:c r="J367" t="str">
        <x:f>IF(I367="","",SUM($I$2:I367))</x:f>
      </x:c>
    </x:row>
    <x:row r="368">
      <x:c r="I368" t="str">
        <x:f>IF(E368="","",COUNTIF(BAOS_ClaimType_Lens_Map!$A$2:$A$200,E368))</x:f>
      </x:c>
      <x:c r="J368" t="str">
        <x:f>IF(I368="","",SUM($I$2:I368))</x:f>
      </x:c>
    </x:row>
    <x:row r="369">
      <x:c r="I369" t="str">
        <x:f>IF(E369="","",COUNTIF(BAOS_ClaimType_Lens_Map!$A$2:$A$200,E369))</x:f>
      </x:c>
      <x:c r="J369" t="str">
        <x:f>IF(I369="","",SUM($I$2:I369))</x:f>
      </x:c>
    </x:row>
    <x:row r="370">
      <x:c r="I370" t="str">
        <x:f>IF(E370="","",COUNTIF(BAOS_ClaimType_Lens_Map!$A$2:$A$200,E370))</x:f>
      </x:c>
      <x:c r="J370" t="str">
        <x:f>IF(I370="","",SUM($I$2:I370))</x:f>
      </x:c>
    </x:row>
    <x:row r="371">
      <x:c r="I371" t="str">
        <x:f>IF(E371="","",COUNTIF(BAOS_ClaimType_Lens_Map!$A$2:$A$200,E371))</x:f>
      </x:c>
      <x:c r="J371" t="str">
        <x:f>IF(I371="","",SUM($I$2:I371))</x:f>
      </x:c>
    </x:row>
    <x:row r="372">
      <x:c r="I372" t="str">
        <x:f>IF(E372="","",COUNTIF(BAOS_ClaimType_Lens_Map!$A$2:$A$200,E372))</x:f>
      </x:c>
      <x:c r="J372" t="str">
        <x:f>IF(I372="","",SUM($I$2:I372))</x:f>
      </x:c>
    </x:row>
    <x:row r="373">
      <x:c r="I373" t="str">
        <x:f>IF(E373="","",COUNTIF(BAOS_ClaimType_Lens_Map!$A$2:$A$200,E373))</x:f>
      </x:c>
      <x:c r="J373" t="str">
        <x:f>IF(I373="","",SUM($I$2:I373))</x:f>
      </x:c>
    </x:row>
    <x:row r="374">
      <x:c r="I374" t="str">
        <x:f>IF(E374="","",COUNTIF(BAOS_ClaimType_Lens_Map!$A$2:$A$200,E374))</x:f>
      </x:c>
      <x:c r="J374" t="str">
        <x:f>IF(I374="","",SUM($I$2:I374))</x:f>
      </x:c>
    </x:row>
    <x:row r="375">
      <x:c r="I375" t="str">
        <x:f>IF(E375="","",COUNTIF(BAOS_ClaimType_Lens_Map!$A$2:$A$200,E375))</x:f>
      </x:c>
      <x:c r="J375" t="str">
        <x:f>IF(I375="","",SUM($I$2:I375))</x:f>
      </x:c>
    </x:row>
    <x:row r="376">
      <x:c r="I376" t="str">
        <x:f>IF(E376="","",COUNTIF(BAOS_ClaimType_Lens_Map!$A$2:$A$200,E376))</x:f>
      </x:c>
      <x:c r="J376" t="str">
        <x:f>IF(I376="","",SUM($I$2:I376))</x:f>
      </x:c>
    </x:row>
    <x:row r="377">
      <x:c r="I377" t="str">
        <x:f>IF(E377="","",COUNTIF(BAOS_ClaimType_Lens_Map!$A$2:$A$200,E377))</x:f>
      </x:c>
      <x:c r="J377" t="str">
        <x:f>IF(I377="","",SUM($I$2:I377))</x:f>
      </x:c>
    </x:row>
    <x:row r="378">
      <x:c r="I378" t="str">
        <x:f>IF(E378="","",COUNTIF(BAOS_ClaimType_Lens_Map!$A$2:$A$200,E378))</x:f>
      </x:c>
      <x:c r="J378" t="str">
        <x:f>IF(I378="","",SUM($I$2:I378))</x:f>
      </x:c>
    </x:row>
    <x:row r="379">
      <x:c r="I379" t="str">
        <x:f>IF(E379="","",COUNTIF(BAOS_ClaimType_Lens_Map!$A$2:$A$200,E379))</x:f>
      </x:c>
      <x:c r="J379" t="str">
        <x:f>IF(I379="","",SUM($I$2:I379))</x:f>
      </x:c>
    </x:row>
    <x:row r="380">
      <x:c r="I380" t="str">
        <x:f>IF(E380="","",COUNTIF(BAOS_ClaimType_Lens_Map!$A$2:$A$200,E380))</x:f>
      </x:c>
      <x:c r="J380" t="str">
        <x:f>IF(I380="","",SUM($I$2:I380))</x:f>
      </x:c>
    </x:row>
    <x:row r="381">
      <x:c r="I381" t="str">
        <x:f>IF(E381="","",COUNTIF(BAOS_ClaimType_Lens_Map!$A$2:$A$200,E381))</x:f>
      </x:c>
      <x:c r="J381" t="str">
        <x:f>IF(I381="","",SUM($I$2:I381))</x:f>
      </x:c>
    </x:row>
    <x:row r="382">
      <x:c r="I382" t="str">
        <x:f>IF(E382="","",COUNTIF(BAOS_ClaimType_Lens_Map!$A$2:$A$200,E382))</x:f>
      </x:c>
      <x:c r="J382" t="str">
        <x:f>IF(I382="","",SUM($I$2:I382))</x:f>
      </x:c>
    </x:row>
    <x:row r="383">
      <x:c r="I383" t="str">
        <x:f>IF(E383="","",COUNTIF(BAOS_ClaimType_Lens_Map!$A$2:$A$200,E383))</x:f>
      </x:c>
      <x:c r="J383" t="str">
        <x:f>IF(I383="","",SUM($I$2:I383))</x:f>
      </x:c>
    </x:row>
    <x:row r="384">
      <x:c r="I384" t="str">
        <x:f>IF(E384="","",COUNTIF(BAOS_ClaimType_Lens_Map!$A$2:$A$200,E384))</x:f>
      </x:c>
      <x:c r="J384" t="str">
        <x:f>IF(I384="","",SUM($I$2:I384))</x:f>
      </x:c>
    </x:row>
    <x:row r="385">
      <x:c r="I385" t="str">
        <x:f>IF(E385="","",COUNTIF(BAOS_ClaimType_Lens_Map!$A$2:$A$200,E385))</x:f>
      </x:c>
      <x:c r="J385" t="str">
        <x:f>IF(I385="","",SUM($I$2:I385))</x:f>
      </x:c>
    </x:row>
    <x:row r="386">
      <x:c r="I386" t="str">
        <x:f>IF(E386="","",COUNTIF(BAOS_ClaimType_Lens_Map!$A$2:$A$200,E386))</x:f>
      </x:c>
      <x:c r="J386" t="str">
        <x:f>IF(I386="","",SUM($I$2:I386))</x:f>
      </x:c>
    </x:row>
    <x:row r="387">
      <x:c r="I387" t="str">
        <x:f>IF(E387="","",COUNTIF(BAOS_ClaimType_Lens_Map!$A$2:$A$200,E387))</x:f>
      </x:c>
      <x:c r="J387" t="str">
        <x:f>IF(I387="","",SUM($I$2:I387))</x:f>
      </x:c>
    </x:row>
    <x:row r="388">
      <x:c r="I388" t="str">
        <x:f>IF(E388="","",COUNTIF(BAOS_ClaimType_Lens_Map!$A$2:$A$200,E388))</x:f>
      </x:c>
      <x:c r="J388" t="str">
        <x:f>IF(I388="","",SUM($I$2:I388))</x:f>
      </x:c>
    </x:row>
    <x:row r="389">
      <x:c r="I389" t="str">
        <x:f>IF(E389="","",COUNTIF(BAOS_ClaimType_Lens_Map!$A$2:$A$200,E389))</x:f>
      </x:c>
      <x:c r="J389" t="str">
        <x:f>IF(I389="","",SUM($I$2:I389))</x:f>
      </x:c>
    </x:row>
    <x:row r="390">
      <x:c r="I390" t="str">
        <x:f>IF(E390="","",COUNTIF(BAOS_ClaimType_Lens_Map!$A$2:$A$200,E390))</x:f>
      </x:c>
      <x:c r="J390" t="str">
        <x:f>IF(I390="","",SUM($I$2:I390))</x:f>
      </x:c>
    </x:row>
    <x:row r="391">
      <x:c r="I391" t="str">
        <x:f>IF(E391="","",COUNTIF(BAOS_ClaimType_Lens_Map!$A$2:$A$200,E391))</x:f>
      </x:c>
      <x:c r="J391" t="str">
        <x:f>IF(I391="","",SUM($I$2:I391))</x:f>
      </x:c>
    </x:row>
    <x:row r="392">
      <x:c r="I392" t="str">
        <x:f>IF(E392="","",COUNTIF(BAOS_ClaimType_Lens_Map!$A$2:$A$200,E392))</x:f>
      </x:c>
      <x:c r="J392" t="str">
        <x:f>IF(I392="","",SUM($I$2:I392))</x:f>
      </x:c>
    </x:row>
    <x:row r="393">
      <x:c r="I393" t="str">
        <x:f>IF(E393="","",COUNTIF(BAOS_ClaimType_Lens_Map!$A$2:$A$200,E393))</x:f>
      </x:c>
      <x:c r="J393" t="str">
        <x:f>IF(I393="","",SUM($I$2:I393))</x:f>
      </x:c>
    </x:row>
    <x:row r="394">
      <x:c r="I394" t="str">
        <x:f>IF(E394="","",COUNTIF(BAOS_ClaimType_Lens_Map!$A$2:$A$200,E394))</x:f>
      </x:c>
      <x:c r="J394" t="str">
        <x:f>IF(I394="","",SUM($I$2:I394))</x:f>
      </x:c>
    </x:row>
    <x:row r="395">
      <x:c r="I395" t="str">
        <x:f>IF(E395="","",COUNTIF(BAOS_ClaimType_Lens_Map!$A$2:$A$200,E395))</x:f>
      </x:c>
      <x:c r="J395" t="str">
        <x:f>IF(I395="","",SUM($I$2:I395))</x:f>
      </x:c>
    </x:row>
    <x:row r="396">
      <x:c r="I396" t="str">
        <x:f>IF(E396="","",COUNTIF(BAOS_ClaimType_Lens_Map!$A$2:$A$200,E396))</x:f>
      </x:c>
      <x:c r="J396" t="str">
        <x:f>IF(I396="","",SUM($I$2:I396))</x:f>
      </x:c>
    </x:row>
    <x:row r="397">
      <x:c r="I397" t="str">
        <x:f>IF(E397="","",COUNTIF(BAOS_ClaimType_Lens_Map!$A$2:$A$200,E397))</x:f>
      </x:c>
      <x:c r="J397" t="str">
        <x:f>IF(I397="","",SUM($I$2:I397))</x:f>
      </x:c>
    </x:row>
    <x:row r="398">
      <x:c r="I398" t="str">
        <x:f>IF(E398="","",COUNTIF(BAOS_ClaimType_Lens_Map!$A$2:$A$200,E398))</x:f>
      </x:c>
      <x:c r="J398" t="str">
        <x:f>IF(I398="","",SUM($I$2:I398))</x:f>
      </x:c>
    </x:row>
    <x:row r="399">
      <x:c r="I399" t="str">
        <x:f>IF(E399="","",COUNTIF(BAOS_ClaimType_Lens_Map!$A$2:$A$200,E399))</x:f>
      </x:c>
      <x:c r="J399" t="str">
        <x:f>IF(I399="","",SUM($I$2:I399))</x:f>
      </x:c>
    </x:row>
    <x:row r="400">
      <x:c r="I400" t="str">
        <x:f>IF(E400="","",COUNTIF(BAOS_ClaimType_Lens_Map!$A$2:$A$200,E400))</x:f>
      </x:c>
      <x:c r="J400" t="str">
        <x:f>IF(I400="","",SUM($I$2:I400))</x:f>
      </x:c>
    </x:row>
    <x:row r="401">
      <x:c r="I401" t="str">
        <x:f>IF(E401="","",COUNTIF(BAOS_ClaimType_Lens_Map!$A$2:$A$200,E401))</x:f>
      </x:c>
      <x:c r="J401" t="str">
        <x:f>IF(I401="","",SUM($I$2:I401))</x:f>
      </x:c>
    </x:row>
    <x:row r="402">
      <x:c r="I402" t="str">
        <x:f>IF(E402="","",COUNTIF(BAOS_ClaimType_Lens_Map!$A$2:$A$200,E402))</x:f>
      </x:c>
      <x:c r="J402" t="str">
        <x:f>IF(I402="","",SUM($I$2:I402))</x:f>
      </x:c>
    </x:row>
    <x:row r="403">
      <x:c r="I403" t="str">
        <x:f>IF(E403="","",COUNTIF(BAOS_ClaimType_Lens_Map!$A$2:$A$200,E403))</x:f>
      </x:c>
      <x:c r="J403" t="str">
        <x:f>IF(I403="","",SUM($I$2:I403))</x:f>
      </x:c>
    </x:row>
    <x:row r="404">
      <x:c r="I404" t="str">
        <x:f>IF(E404="","",COUNTIF(BAOS_ClaimType_Lens_Map!$A$2:$A$200,E404))</x:f>
      </x:c>
      <x:c r="J404" t="str">
        <x:f>IF(I404="","",SUM($I$2:I404))</x:f>
      </x:c>
    </x:row>
    <x:row r="405">
      <x:c r="I405" t="str">
        <x:f>IF(E405="","",COUNTIF(BAOS_ClaimType_Lens_Map!$A$2:$A$200,E405))</x:f>
      </x:c>
      <x:c r="J405" t="str">
        <x:f>IF(I405="","",SUM($I$2:I405))</x:f>
      </x:c>
    </x:row>
    <x:row r="406">
      <x:c r="I406" t="str">
        <x:f>IF(E406="","",COUNTIF(BAOS_ClaimType_Lens_Map!$A$2:$A$200,E406))</x:f>
      </x:c>
      <x:c r="J406" t="str">
        <x:f>IF(I406="","",SUM($I$2:I406))</x:f>
      </x:c>
    </x:row>
    <x:row r="407">
      <x:c r="I407" t="str">
        <x:f>IF(E407="","",COUNTIF(BAOS_ClaimType_Lens_Map!$A$2:$A$200,E407))</x:f>
      </x:c>
      <x:c r="J407" t="str">
        <x:f>IF(I407="","",SUM($I$2:I407))</x:f>
      </x:c>
    </x:row>
    <x:row r="408">
      <x:c r="I408" t="str">
        <x:f>IF(E408="","",COUNTIF(BAOS_ClaimType_Lens_Map!$A$2:$A$200,E408))</x:f>
      </x:c>
      <x:c r="J408" t="str">
        <x:f>IF(I408="","",SUM($I$2:I408))</x:f>
      </x:c>
    </x:row>
    <x:row r="409">
      <x:c r="I409" t="str">
        <x:f>IF(E409="","",COUNTIF(BAOS_ClaimType_Lens_Map!$A$2:$A$200,E409))</x:f>
      </x:c>
      <x:c r="J409" t="str">
        <x:f>IF(I409="","",SUM($I$2:I409))</x:f>
      </x:c>
    </x:row>
    <x:row r="410">
      <x:c r="I410" t="str">
        <x:f>IF(E410="","",COUNTIF(BAOS_ClaimType_Lens_Map!$A$2:$A$200,E410))</x:f>
      </x:c>
      <x:c r="J410" t="str">
        <x:f>IF(I410="","",SUM($I$2:I410))</x:f>
      </x:c>
    </x:row>
    <x:row r="411">
      <x:c r="I411" t="str">
        <x:f>IF(E411="","",COUNTIF(BAOS_ClaimType_Lens_Map!$A$2:$A$200,E411))</x:f>
      </x:c>
      <x:c r="J411" t="str">
        <x:f>IF(I411="","",SUM($I$2:I411))</x:f>
      </x:c>
    </x:row>
    <x:row r="412">
      <x:c r="I412" t="str">
        <x:f>IF(E412="","",COUNTIF(BAOS_ClaimType_Lens_Map!$A$2:$A$200,E412))</x:f>
      </x:c>
      <x:c r="J412" t="str">
        <x:f>IF(I412="","",SUM($I$2:I412))</x:f>
      </x:c>
    </x:row>
    <x:row r="413">
      <x:c r="I413" t="str">
        <x:f>IF(E413="","",COUNTIF(BAOS_ClaimType_Lens_Map!$A$2:$A$200,E413))</x:f>
      </x:c>
      <x:c r="J413" t="str">
        <x:f>IF(I413="","",SUM($I$2:I413))</x:f>
      </x:c>
    </x:row>
    <x:row r="414">
      <x:c r="I414" t="str">
        <x:f>IF(E414="","",COUNTIF(BAOS_ClaimType_Lens_Map!$A$2:$A$200,E414))</x:f>
      </x:c>
      <x:c r="J414" t="str">
        <x:f>IF(I414="","",SUM($I$2:I414))</x:f>
      </x:c>
    </x:row>
    <x:row r="415">
      <x:c r="I415" t="str">
        <x:f>IF(E415="","",COUNTIF(BAOS_ClaimType_Lens_Map!$A$2:$A$200,E415))</x:f>
      </x:c>
      <x:c r="J415" t="str">
        <x:f>IF(I415="","",SUM($I$2:I415))</x:f>
      </x:c>
    </x:row>
    <x:row r="416">
      <x:c r="I416" t="str">
        <x:f>IF(E416="","",COUNTIF(BAOS_ClaimType_Lens_Map!$A$2:$A$200,E416))</x:f>
      </x:c>
      <x:c r="J416" t="str">
        <x:f>IF(I416="","",SUM($I$2:I416))</x:f>
      </x:c>
    </x:row>
    <x:row r="417">
      <x:c r="I417" t="str">
        <x:f>IF(E417="","",COUNTIF(BAOS_ClaimType_Lens_Map!$A$2:$A$200,E417))</x:f>
      </x:c>
      <x:c r="J417" t="str">
        <x:f>IF(I417="","",SUM($I$2:I417))</x:f>
      </x:c>
    </x:row>
    <x:row r="418">
      <x:c r="I418" t="str">
        <x:f>IF(E418="","",COUNTIF(BAOS_ClaimType_Lens_Map!$A$2:$A$200,E418))</x:f>
      </x:c>
      <x:c r="J418" t="str">
        <x:f>IF(I418="","",SUM($I$2:I418))</x:f>
      </x:c>
    </x:row>
    <x:row r="419">
      <x:c r="I419" t="str">
        <x:f>IF(E419="","",COUNTIF(BAOS_ClaimType_Lens_Map!$A$2:$A$200,E419))</x:f>
      </x:c>
      <x:c r="J419" t="str">
        <x:f>IF(I419="","",SUM($I$2:I419))</x:f>
      </x:c>
    </x:row>
    <x:row r="420">
      <x:c r="I420" t="str">
        <x:f>IF(E420="","",COUNTIF(BAOS_ClaimType_Lens_Map!$A$2:$A$200,E420))</x:f>
      </x:c>
      <x:c r="J420" t="str">
        <x:f>IF(I420="","",SUM($I$2:I420))</x:f>
      </x:c>
    </x:row>
    <x:row r="421">
      <x:c r="I421" t="str">
        <x:f>IF(E421="","",COUNTIF(BAOS_ClaimType_Lens_Map!$A$2:$A$200,E421))</x:f>
      </x:c>
      <x:c r="J421" t="str">
        <x:f>IF(I421="","",SUM($I$2:I421))</x:f>
      </x:c>
    </x:row>
    <x:row r="422">
      <x:c r="I422" t="str">
        <x:f>IF(E422="","",COUNTIF(BAOS_ClaimType_Lens_Map!$A$2:$A$200,E422))</x:f>
      </x:c>
      <x:c r="J422" t="str">
        <x:f>IF(I422="","",SUM($I$2:I422))</x:f>
      </x:c>
    </x:row>
    <x:row r="423">
      <x:c r="I423" t="str">
        <x:f>IF(E423="","",COUNTIF(BAOS_ClaimType_Lens_Map!$A$2:$A$200,E423))</x:f>
      </x:c>
      <x:c r="J423" t="str">
        <x:f>IF(I423="","",SUM($I$2:I423))</x:f>
      </x:c>
    </x:row>
    <x:row r="424">
      <x:c r="I424" t="str">
        <x:f>IF(E424="","",COUNTIF(BAOS_ClaimType_Lens_Map!$A$2:$A$200,E424))</x:f>
      </x:c>
      <x:c r="J424" t="str">
        <x:f>IF(I424="","",SUM($I$2:I424))</x:f>
      </x:c>
    </x:row>
    <x:row r="425">
      <x:c r="I425" t="str">
        <x:f>IF(E425="","",COUNTIF(BAOS_ClaimType_Lens_Map!$A$2:$A$200,E425))</x:f>
      </x:c>
      <x:c r="J425" t="str">
        <x:f>IF(I425="","",SUM($I$2:I425))</x:f>
      </x:c>
    </x:row>
    <x:row r="426">
      <x:c r="I426" t="str">
        <x:f>IF(E426="","",COUNTIF(BAOS_ClaimType_Lens_Map!$A$2:$A$200,E426))</x:f>
      </x:c>
      <x:c r="J426" t="str">
        <x:f>IF(I426="","",SUM($I$2:I426))</x:f>
      </x:c>
    </x:row>
    <x:row r="427">
      <x:c r="I427" t="str">
        <x:f>IF(E427="","",COUNTIF(BAOS_ClaimType_Lens_Map!$A$2:$A$200,E427))</x:f>
      </x:c>
      <x:c r="J427" t="str">
        <x:f>IF(I427="","",SUM($I$2:I427))</x:f>
      </x:c>
    </x:row>
    <x:row r="428">
      <x:c r="I428" t="str">
        <x:f>IF(E428="","",COUNTIF(BAOS_ClaimType_Lens_Map!$A$2:$A$200,E428))</x:f>
      </x:c>
      <x:c r="J428" t="str">
        <x:f>IF(I428="","",SUM($I$2:I428))</x:f>
      </x:c>
    </x:row>
    <x:row r="429">
      <x:c r="I429" t="str">
        <x:f>IF(E429="","",COUNTIF(BAOS_ClaimType_Lens_Map!$A$2:$A$200,E429))</x:f>
      </x:c>
      <x:c r="J429" t="str">
        <x:f>IF(I429="","",SUM($I$2:I429))</x:f>
      </x:c>
    </x:row>
    <x:row r="430">
      <x:c r="I430" t="str">
        <x:f>IF(E430="","",COUNTIF(BAOS_ClaimType_Lens_Map!$A$2:$A$200,E430))</x:f>
      </x:c>
      <x:c r="J430" t="str">
        <x:f>IF(I430="","",SUM($I$2:I430))</x:f>
      </x:c>
    </x:row>
    <x:row r="431">
      <x:c r="I431" t="str">
        <x:f>IF(E431="","",COUNTIF(BAOS_ClaimType_Lens_Map!$A$2:$A$200,E431))</x:f>
      </x:c>
      <x:c r="J431" t="str">
        <x:f>IF(I431="","",SUM($I$2:I431))</x:f>
      </x:c>
    </x:row>
    <x:row r="432">
      <x:c r="I432" t="str">
        <x:f>IF(E432="","",COUNTIF(BAOS_ClaimType_Lens_Map!$A$2:$A$200,E432))</x:f>
      </x:c>
      <x:c r="J432" t="str">
        <x:f>IF(I432="","",SUM($I$2:I432))</x:f>
      </x:c>
    </x:row>
    <x:row r="433">
      <x:c r="I433" t="str">
        <x:f>IF(E433="","",COUNTIF(BAOS_ClaimType_Lens_Map!$A$2:$A$200,E433))</x:f>
      </x:c>
      <x:c r="J433" t="str">
        <x:f>IF(I433="","",SUM($I$2:I433))</x:f>
      </x:c>
    </x:row>
    <x:row r="434">
      <x:c r="I434" t="str">
        <x:f>IF(E434="","",COUNTIF(BAOS_ClaimType_Lens_Map!$A$2:$A$200,E434))</x:f>
      </x:c>
      <x:c r="J434" t="str">
        <x:f>IF(I434="","",SUM($I$2:I434))</x:f>
      </x:c>
    </x:row>
    <x:row r="435">
      <x:c r="I435" t="str">
        <x:f>IF(E435="","",COUNTIF(BAOS_ClaimType_Lens_Map!$A$2:$A$200,E435))</x:f>
      </x:c>
      <x:c r="J435" t="str">
        <x:f>IF(I435="","",SUM($I$2:I435))</x:f>
      </x:c>
    </x:row>
    <x:row r="436">
      <x:c r="I436" t="str">
        <x:f>IF(E436="","",COUNTIF(BAOS_ClaimType_Lens_Map!$A$2:$A$200,E436))</x:f>
      </x:c>
      <x:c r="J436" t="str">
        <x:f>IF(I436="","",SUM($I$2:I436))</x:f>
      </x:c>
    </x:row>
    <x:row r="437">
      <x:c r="I437" t="str">
        <x:f>IF(E437="","",COUNTIF(BAOS_ClaimType_Lens_Map!$A$2:$A$200,E437))</x:f>
      </x:c>
      <x:c r="J437" t="str">
        <x:f>IF(I437="","",SUM($I$2:I437))</x:f>
      </x:c>
    </x:row>
    <x:row r="438">
      <x:c r="I438" t="str">
        <x:f>IF(E438="","",COUNTIF(BAOS_ClaimType_Lens_Map!$A$2:$A$200,E438))</x:f>
      </x:c>
      <x:c r="J438" t="str">
        <x:f>IF(I438="","",SUM($I$2:I438))</x:f>
      </x:c>
    </x:row>
    <x:row r="439">
      <x:c r="I439" t="str">
        <x:f>IF(E439="","",COUNTIF(BAOS_ClaimType_Lens_Map!$A$2:$A$200,E439))</x:f>
      </x:c>
      <x:c r="J439" t="str">
        <x:f>IF(I439="","",SUM($I$2:I439))</x:f>
      </x:c>
    </x:row>
    <x:row r="440">
      <x:c r="I440" t="str">
        <x:f>IF(E440="","",COUNTIF(BAOS_ClaimType_Lens_Map!$A$2:$A$200,E440))</x:f>
      </x:c>
      <x:c r="J440" t="str">
        <x:f>IF(I440="","",SUM($I$2:I440))</x:f>
      </x:c>
    </x:row>
    <x:row r="441">
      <x:c r="I441" t="str">
        <x:f>IF(E441="","",COUNTIF(BAOS_ClaimType_Lens_Map!$A$2:$A$200,E441))</x:f>
      </x:c>
      <x:c r="J441" t="str">
        <x:f>IF(I441="","",SUM($I$2:I441))</x:f>
      </x:c>
    </x:row>
    <x:row r="442">
      <x:c r="I442" t="str">
        <x:f>IF(E442="","",COUNTIF(BAOS_ClaimType_Lens_Map!$A$2:$A$200,E442))</x:f>
      </x:c>
      <x:c r="J442" t="str">
        <x:f>IF(I442="","",SUM($I$2:I442))</x:f>
      </x:c>
    </x:row>
    <x:row r="443">
      <x:c r="I443" t="str">
        <x:f>IF(E443="","",COUNTIF(BAOS_ClaimType_Lens_Map!$A$2:$A$200,E443))</x:f>
      </x:c>
      <x:c r="J443" t="str">
        <x:f>IF(I443="","",SUM($I$2:I443))</x:f>
      </x:c>
    </x:row>
    <x:row r="444">
      <x:c r="I444" t="str">
        <x:f>IF(E444="","",COUNTIF(BAOS_ClaimType_Lens_Map!$A$2:$A$200,E444))</x:f>
      </x:c>
      <x:c r="J444" t="str">
        <x:f>IF(I444="","",SUM($I$2:I444))</x:f>
      </x:c>
    </x:row>
    <x:row r="445">
      <x:c r="I445" t="str">
        <x:f>IF(E445="","",COUNTIF(BAOS_ClaimType_Lens_Map!$A$2:$A$200,E445))</x:f>
      </x:c>
      <x:c r="J445" t="str">
        <x:f>IF(I445="","",SUM($I$2:I445))</x:f>
      </x:c>
    </x:row>
    <x:row r="446">
      <x:c r="I446" t="str">
        <x:f>IF(E446="","",COUNTIF(BAOS_ClaimType_Lens_Map!$A$2:$A$200,E446))</x:f>
      </x:c>
      <x:c r="J446" t="str">
        <x:f>IF(I446="","",SUM($I$2:I446))</x:f>
      </x:c>
    </x:row>
    <x:row r="447">
      <x:c r="I447" t="str">
        <x:f>IF(E447="","",COUNTIF(BAOS_ClaimType_Lens_Map!$A$2:$A$200,E447))</x:f>
      </x:c>
      <x:c r="J447" t="str">
        <x:f>IF(I447="","",SUM($I$2:I447))</x:f>
      </x:c>
    </x:row>
    <x:row r="448">
      <x:c r="I448" t="str">
        <x:f>IF(E448="","",COUNTIF(BAOS_ClaimType_Lens_Map!$A$2:$A$200,E448))</x:f>
      </x:c>
      <x:c r="J448" t="str">
        <x:f>IF(I448="","",SUM($I$2:I448))</x:f>
      </x:c>
    </x:row>
    <x:row r="449">
      <x:c r="I449" t="str">
        <x:f>IF(E449="","",COUNTIF(BAOS_ClaimType_Lens_Map!$A$2:$A$200,E449))</x:f>
      </x:c>
      <x:c r="J449" t="str">
        <x:f>IF(I449="","",SUM($I$2:I449))</x:f>
      </x:c>
    </x:row>
    <x:row r="450">
      <x:c r="I450" t="str">
        <x:f>IF(E450="","",COUNTIF(BAOS_ClaimType_Lens_Map!$A$2:$A$200,E450))</x:f>
      </x:c>
      <x:c r="J450" t="str">
        <x:f>IF(I450="","",SUM($I$2:I450))</x:f>
      </x:c>
    </x:row>
    <x:row r="451">
      <x:c r="I451" t="str">
        <x:f>IF(E451="","",COUNTIF(BAOS_ClaimType_Lens_Map!$A$2:$A$200,E451))</x:f>
      </x:c>
      <x:c r="J451" t="str">
        <x:f>IF(I451="","",SUM($I$2:I451))</x:f>
      </x:c>
    </x:row>
    <x:row r="452">
      <x:c r="I452" t="str">
        <x:f>IF(E452="","",COUNTIF(BAOS_ClaimType_Lens_Map!$A$2:$A$200,E452))</x:f>
      </x:c>
      <x:c r="J452" t="str">
        <x:f>IF(I452="","",SUM($I$2:I452))</x:f>
      </x:c>
    </x:row>
    <x:row r="453">
      <x:c r="I453" t="str">
        <x:f>IF(E453="","",COUNTIF(BAOS_ClaimType_Lens_Map!$A$2:$A$200,E453))</x:f>
      </x:c>
      <x:c r="J453" t="str">
        <x:f>IF(I453="","",SUM($I$2:I453))</x:f>
      </x:c>
    </x:row>
    <x:row r="454">
      <x:c r="I454" t="str">
        <x:f>IF(E454="","",COUNTIF(BAOS_ClaimType_Lens_Map!$A$2:$A$200,E454))</x:f>
      </x:c>
      <x:c r="J454" t="str">
        <x:f>IF(I454="","",SUM($I$2:I454))</x:f>
      </x:c>
    </x:row>
    <x:row r="455">
      <x:c r="I455" t="str">
        <x:f>IF(E455="","",COUNTIF(BAOS_ClaimType_Lens_Map!$A$2:$A$200,E455))</x:f>
      </x:c>
      <x:c r="J455" t="str">
        <x:f>IF(I455="","",SUM($I$2:I455))</x:f>
      </x:c>
    </x:row>
    <x:row r="456">
      <x:c r="I456" t="str">
        <x:f>IF(E456="","",COUNTIF(BAOS_ClaimType_Lens_Map!$A$2:$A$200,E456))</x:f>
      </x:c>
      <x:c r="J456" t="str">
        <x:f>IF(I456="","",SUM($I$2:I456))</x:f>
      </x:c>
    </x:row>
    <x:row r="457">
      <x:c r="I457" t="str">
        <x:f>IF(E457="","",COUNTIF(BAOS_ClaimType_Lens_Map!$A$2:$A$200,E457))</x:f>
      </x:c>
      <x:c r="J457" t="str">
        <x:f>IF(I457="","",SUM($I$2:I457))</x:f>
      </x:c>
    </x:row>
    <x:row r="458">
      <x:c r="I458" t="str">
        <x:f>IF(E458="","",COUNTIF(BAOS_ClaimType_Lens_Map!$A$2:$A$200,E458))</x:f>
      </x:c>
      <x:c r="J458" t="str">
        <x:f>IF(I458="","",SUM($I$2:I458))</x:f>
      </x:c>
    </x:row>
    <x:row r="459">
      <x:c r="I459" t="str">
        <x:f>IF(E459="","",COUNTIF(BAOS_ClaimType_Lens_Map!$A$2:$A$200,E459))</x:f>
      </x:c>
      <x:c r="J459" t="str">
        <x:f>IF(I459="","",SUM($I$2:I459))</x:f>
      </x:c>
    </x:row>
    <x:row r="460">
      <x:c r="I460" t="str">
        <x:f>IF(E460="","",COUNTIF(BAOS_ClaimType_Lens_Map!$A$2:$A$200,E460))</x:f>
      </x:c>
      <x:c r="J460" t="str">
        <x:f>IF(I460="","",SUM($I$2:I460))</x:f>
      </x:c>
    </x:row>
    <x:row r="461">
      <x:c r="I461" t="str">
        <x:f>IF(E461="","",COUNTIF(BAOS_ClaimType_Lens_Map!$A$2:$A$200,E461))</x:f>
      </x:c>
      <x:c r="J461" t="str">
        <x:f>IF(I461="","",SUM($I$2:I461))</x:f>
      </x:c>
    </x:row>
    <x:row r="462">
      <x:c r="I462" t="str">
        <x:f>IF(E462="","",COUNTIF(BAOS_ClaimType_Lens_Map!$A$2:$A$200,E462))</x:f>
      </x:c>
      <x:c r="J462" t="str">
        <x:f>IF(I462="","",SUM($I$2:I462))</x:f>
      </x:c>
    </x:row>
    <x:row r="463">
      <x:c r="I463" t="str">
        <x:f>IF(E463="","",COUNTIF(BAOS_ClaimType_Lens_Map!$A$2:$A$200,E463))</x:f>
      </x:c>
      <x:c r="J463" t="str">
        <x:f>IF(I463="","",SUM($I$2:I463))</x:f>
      </x:c>
    </x:row>
    <x:row r="464">
      <x:c r="I464" t="str">
        <x:f>IF(E464="","",COUNTIF(BAOS_ClaimType_Lens_Map!$A$2:$A$200,E464))</x:f>
      </x:c>
      <x:c r="J464" t="str">
        <x:f>IF(I464="","",SUM($I$2:I464))</x:f>
      </x:c>
    </x:row>
    <x:row r="465">
      <x:c r="I465" t="str">
        <x:f>IF(E465="","",COUNTIF(BAOS_ClaimType_Lens_Map!$A$2:$A$200,E465))</x:f>
      </x:c>
      <x:c r="J465" t="str">
        <x:f>IF(I465="","",SUM($I$2:I465))</x:f>
      </x:c>
    </x:row>
    <x:row r="466">
      <x:c r="I466" t="str">
        <x:f>IF(E466="","",COUNTIF(BAOS_ClaimType_Lens_Map!$A$2:$A$200,E466))</x:f>
      </x:c>
      <x:c r="J466" t="str">
        <x:f>IF(I466="","",SUM($I$2:I466))</x:f>
      </x:c>
    </x:row>
    <x:row r="467">
      <x:c r="I467" t="str">
        <x:f>IF(E467="","",COUNTIF(BAOS_ClaimType_Lens_Map!$A$2:$A$200,E467))</x:f>
      </x:c>
      <x:c r="J467" t="str">
        <x:f>IF(I467="","",SUM($I$2:I467))</x:f>
      </x:c>
    </x:row>
    <x:row r="468">
      <x:c r="I468" t="str">
        <x:f>IF(E468="","",COUNTIF(BAOS_ClaimType_Lens_Map!$A$2:$A$200,E468))</x:f>
      </x:c>
      <x:c r="J468" t="str">
        <x:f>IF(I468="","",SUM($I$2:I468))</x:f>
      </x:c>
    </x:row>
    <x:row r="469">
      <x:c r="I469" t="str">
        <x:f>IF(E469="","",COUNTIF(BAOS_ClaimType_Lens_Map!$A$2:$A$200,E469))</x:f>
      </x:c>
      <x:c r="J469" t="str">
        <x:f>IF(I469="","",SUM($I$2:I469))</x:f>
      </x:c>
    </x:row>
    <x:row r="470">
      <x:c r="I470" t="str">
        <x:f>IF(E470="","",COUNTIF(BAOS_ClaimType_Lens_Map!$A$2:$A$200,E470))</x:f>
      </x:c>
      <x:c r="J470" t="str">
        <x:f>IF(I470="","",SUM($I$2:I470))</x:f>
      </x:c>
    </x:row>
    <x:row r="471">
      <x:c r="I471" t="str">
        <x:f>IF(E471="","",COUNTIF(BAOS_ClaimType_Lens_Map!$A$2:$A$200,E471))</x:f>
      </x:c>
      <x:c r="J471" t="str">
        <x:f>IF(I471="","",SUM($I$2:I471))</x:f>
      </x:c>
    </x:row>
    <x:row r="472">
      <x:c r="I472" t="str">
        <x:f>IF(E472="","",COUNTIF(BAOS_ClaimType_Lens_Map!$A$2:$A$200,E472))</x:f>
      </x:c>
      <x:c r="J472" t="str">
        <x:f>IF(I472="","",SUM($I$2:I472))</x:f>
      </x:c>
    </x:row>
    <x:row r="473">
      <x:c r="I473" t="str">
        <x:f>IF(E473="","",COUNTIF(BAOS_ClaimType_Lens_Map!$A$2:$A$200,E473))</x:f>
      </x:c>
      <x:c r="J473" t="str">
        <x:f>IF(I473="","",SUM($I$2:I473))</x:f>
      </x:c>
    </x:row>
    <x:row r="474">
      <x:c r="I474" t="str">
        <x:f>IF(E474="","",COUNTIF(BAOS_ClaimType_Lens_Map!$A$2:$A$200,E474))</x:f>
      </x:c>
      <x:c r="J474" t="str">
        <x:f>IF(I474="","",SUM($I$2:I474))</x:f>
      </x:c>
    </x:row>
    <x:row r="475">
      <x:c r="I475" t="str">
        <x:f>IF(E475="","",COUNTIF(BAOS_ClaimType_Lens_Map!$A$2:$A$200,E475))</x:f>
      </x:c>
      <x:c r="J475" t="str">
        <x:f>IF(I475="","",SUM($I$2:I475))</x:f>
      </x:c>
    </x:row>
    <x:row r="476">
      <x:c r="I476" t="str">
        <x:f>IF(E476="","",COUNTIF(BAOS_ClaimType_Lens_Map!$A$2:$A$200,E476))</x:f>
      </x:c>
      <x:c r="J476" t="str">
        <x:f>IF(I476="","",SUM($I$2:I476))</x:f>
      </x:c>
    </x:row>
    <x:row r="477">
      <x:c r="I477" t="str">
        <x:f>IF(E477="","",COUNTIF(BAOS_ClaimType_Lens_Map!$A$2:$A$200,E477))</x:f>
      </x:c>
      <x:c r="J477" t="str">
        <x:f>IF(I477="","",SUM($I$2:I477))</x:f>
      </x:c>
    </x:row>
    <x:row r="478">
      <x:c r="I478" t="str">
        <x:f>IF(E478="","",COUNTIF(BAOS_ClaimType_Lens_Map!$A$2:$A$200,E478))</x:f>
      </x:c>
      <x:c r="J478" t="str">
        <x:f>IF(I478="","",SUM($I$2:I478))</x:f>
      </x:c>
    </x:row>
    <x:row r="479">
      <x:c r="I479" t="str">
        <x:f>IF(E479="","",COUNTIF(BAOS_ClaimType_Lens_Map!$A$2:$A$200,E479))</x:f>
      </x:c>
      <x:c r="J479" t="str">
        <x:f>IF(I479="","",SUM($I$2:I479))</x:f>
      </x:c>
    </x:row>
    <x:row r="480">
      <x:c r="I480" t="str">
        <x:f>IF(E480="","",COUNTIF(BAOS_ClaimType_Lens_Map!$A$2:$A$200,E480))</x:f>
      </x:c>
      <x:c r="J480" t="str">
        <x:f>IF(I480="","",SUM($I$2:I480))</x:f>
      </x:c>
    </x:row>
    <x:row r="481">
      <x:c r="I481" t="str">
        <x:f>IF(E481="","",COUNTIF(BAOS_ClaimType_Lens_Map!$A$2:$A$200,E481))</x:f>
      </x:c>
      <x:c r="J481" t="str">
        <x:f>IF(I481="","",SUM($I$2:I481))</x:f>
      </x:c>
    </x:row>
    <x:row r="482">
      <x:c r="I482" t="str">
        <x:f>IF(E482="","",COUNTIF(BAOS_ClaimType_Lens_Map!$A$2:$A$200,E482))</x:f>
      </x:c>
      <x:c r="J482" t="str">
        <x:f>IF(I482="","",SUM($I$2:I482))</x:f>
      </x:c>
    </x:row>
    <x:row r="483">
      <x:c r="I483" t="str">
        <x:f>IF(E483="","",COUNTIF(BAOS_ClaimType_Lens_Map!$A$2:$A$200,E483))</x:f>
      </x:c>
      <x:c r="J483" t="str">
        <x:f>IF(I483="","",SUM($I$2:I483))</x:f>
      </x:c>
    </x:row>
    <x:row r="484">
      <x:c r="I484" t="str">
        <x:f>IF(E484="","",COUNTIF(BAOS_ClaimType_Lens_Map!$A$2:$A$200,E484))</x:f>
      </x:c>
      <x:c r="J484" t="str">
        <x:f>IF(I484="","",SUM($I$2:I484))</x:f>
      </x:c>
    </x:row>
    <x:row r="485">
      <x:c r="I485" t="str">
        <x:f>IF(E485="","",COUNTIF(BAOS_ClaimType_Lens_Map!$A$2:$A$200,E485))</x:f>
      </x:c>
      <x:c r="J485" t="str">
        <x:f>IF(I485="","",SUM($I$2:I485))</x:f>
      </x:c>
    </x:row>
    <x:row r="486">
      <x:c r="I486" t="str">
        <x:f>IF(E486="","",COUNTIF(BAOS_ClaimType_Lens_Map!$A$2:$A$200,E486))</x:f>
      </x:c>
      <x:c r="J486" t="str">
        <x:f>IF(I486="","",SUM($I$2:I486))</x:f>
      </x:c>
    </x:row>
    <x:row r="487">
      <x:c r="I487" t="str">
        <x:f>IF(E487="","",COUNTIF(BAOS_ClaimType_Lens_Map!$A$2:$A$200,E487))</x:f>
      </x:c>
      <x:c r="J487" t="str">
        <x:f>IF(I487="","",SUM($I$2:I487))</x:f>
      </x:c>
    </x:row>
    <x:row r="488">
      <x:c r="I488" t="str">
        <x:f>IF(E488="","",COUNTIF(BAOS_ClaimType_Lens_Map!$A$2:$A$200,E488))</x:f>
      </x:c>
      <x:c r="J488" t="str">
        <x:f>IF(I488="","",SUM($I$2:I488))</x:f>
      </x:c>
    </x:row>
    <x:row r="489">
      <x:c r="I489" t="str">
        <x:f>IF(E489="","",COUNTIF(BAOS_ClaimType_Lens_Map!$A$2:$A$200,E489))</x:f>
      </x:c>
      <x:c r="J489" t="str">
        <x:f>IF(I489="","",SUM($I$2:I489))</x:f>
      </x:c>
    </x:row>
    <x:row r="490">
      <x:c r="I490" t="str">
        <x:f>IF(E490="","",COUNTIF(BAOS_ClaimType_Lens_Map!$A$2:$A$200,E490))</x:f>
      </x:c>
      <x:c r="J490" t="str">
        <x:f>IF(I490="","",SUM($I$2:I490))</x:f>
      </x:c>
    </x:row>
    <x:row r="491">
      <x:c r="I491" t="str">
        <x:f>IF(E491="","",COUNTIF(BAOS_ClaimType_Lens_Map!$A$2:$A$200,E491))</x:f>
      </x:c>
      <x:c r="J491" t="str">
        <x:f>IF(I491="","",SUM($I$2:I491))</x:f>
      </x:c>
    </x:row>
    <x:row r="492">
      <x:c r="I492" t="str">
        <x:f>IF(E492="","",COUNTIF(BAOS_ClaimType_Lens_Map!$A$2:$A$200,E492))</x:f>
      </x:c>
      <x:c r="J492" t="str">
        <x:f>IF(I492="","",SUM($I$2:I492))</x:f>
      </x:c>
    </x:row>
    <x:row r="493">
      <x:c r="I493" t="str">
        <x:f>IF(E493="","",COUNTIF(BAOS_ClaimType_Lens_Map!$A$2:$A$200,E493))</x:f>
      </x:c>
      <x:c r="J493" t="str">
        <x:f>IF(I493="","",SUM($I$2:I493))</x:f>
      </x:c>
    </x:row>
    <x:row r="494">
      <x:c r="I494" t="str">
        <x:f>IF(E494="","",COUNTIF(BAOS_ClaimType_Lens_Map!$A$2:$A$200,E494))</x:f>
      </x:c>
      <x:c r="J494" t="str">
        <x:f>IF(I494="","",SUM($I$2:I494))</x:f>
      </x:c>
    </x:row>
    <x:row r="495">
      <x:c r="I495" t="str">
        <x:f>IF(E495="","",COUNTIF(BAOS_ClaimType_Lens_Map!$A$2:$A$200,E495))</x:f>
      </x:c>
      <x:c r="J495" t="str">
        <x:f>IF(I495="","",SUM($I$2:I495))</x:f>
      </x:c>
    </x:row>
    <x:row r="496">
      <x:c r="I496" t="str">
        <x:f>IF(E496="","",COUNTIF(BAOS_ClaimType_Lens_Map!$A$2:$A$200,E496))</x:f>
      </x:c>
      <x:c r="J496" t="str">
        <x:f>IF(I496="","",SUM($I$2:I496))</x:f>
      </x:c>
    </x:row>
    <x:row r="497">
      <x:c r="I497" t="str">
        <x:f>IF(E497="","",COUNTIF(BAOS_ClaimType_Lens_Map!$A$2:$A$200,E497))</x:f>
      </x:c>
      <x:c r="J497" t="str">
        <x:f>IF(I497="","",SUM($I$2:I497))</x:f>
      </x:c>
    </x:row>
    <x:row r="498">
      <x:c r="I498" t="str">
        <x:f>IF(E498="","",COUNTIF(BAOS_ClaimType_Lens_Map!$A$2:$A$200,E498))</x:f>
      </x:c>
      <x:c r="J498" t="str">
        <x:f>IF(I498="","",SUM($I$2:I498))</x:f>
      </x:c>
    </x:row>
    <x:row r="499">
      <x:c r="I499" t="str">
        <x:f>IF(E499="","",COUNTIF(BAOS_ClaimType_Lens_Map!$A$2:$A$200,E499))</x:f>
      </x:c>
      <x:c r="J499" t="str">
        <x:f>IF(I499="","",SUM($I$2:I499))</x:f>
      </x:c>
    </x:row>
    <x:row r="500">
      <x:c r="I500" t="str">
        <x:f>IF(E500="","",COUNTIF(BAOS_ClaimType_Lens_Map!$A$2:$A$200,E500))</x:f>
      </x:c>
      <x:c r="J500" t="str">
        <x:f>IF(I500="","",SUM($I$2:I500))</x:f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4" style="11" customWidth="1"/>
    <x:col min="2" max="2" width="14" style="11" customWidth="1"/>
    <x:col min="3" max="3" width="14" style="11" customWidth="1"/>
    <x:col min="4" max="4" width="14" style="11" customWidth="1"/>
    <x:col min="5" max="6" width="19" style="11" customWidth="1"/>
    <x:col min="6" max="6" width="17" style="12" customWidth="1"/>
    <x:col min="7" max="7" width="21" style="11" customWidth="1"/>
    <x:col min="8" max="8" width="14" style="11" customWidth="1"/>
    <x:col min="9" max="9" width="16" style="12" customWidth="1"/>
  </x:cols>
  <x:sheetData>
    <x:row r="1" s="12" customFormat="1" ht="28.350000381469727" customHeight="1">
      <x:c r="A1" s="21" t="inlineStr">
        <x:is>
          <x:t xml:space="preserve">ProgramID</x:t>
        </x:is>
      </x:c>
      <x:c r="B1" s="21" t="inlineStr">
        <x:is>
          <x:t xml:space="preserve">SignalID</x:t>
        </x:is>
      </x:c>
      <x:c r="C1" s="21" t="inlineStr">
        <x:is>
          <x:t xml:space="preserve">StatementID</x:t>
        </x:is>
      </x:c>
      <x:c r="D1" s="21" t="inlineStr">
        <x:is>
          <x:t xml:space="preserve">EvidenceID</x:t>
        </x:is>
      </x:c>
      <x:c r="E1" s="21" t="inlineStr">
        <x:is>
          <x:t xml:space="preserve">EvidenceStrength</x:t>
        </x:is>
      </x:c>
      <x:c r="F1" s="21" t="inlineStr">
        <x:is>
          <x:t xml:space="preserve">ClinicalImpact</x:t>
        </x:is>
      </x:c>
      <x:c r="G1" s="21" t="inlineStr">
        <x:is>
          <x:t xml:space="preserve">StrategicRelevance</x:t>
        </x:is>
      </x:c>
      <x:c r="H1" s="21" t="inlineStr">
        <x:is>
          <x:t xml:space="preserve">ScoringNote</x:t>
        </x:is>
      </x:c>
      <x:c r="I1" s="13" t="inlineStr">
        <x:is>
          <x:t xml:space="preserve">RoutingRuleID</x:t>
        </x:is>
      </x:c>
    </x:row>
    <x:row r="2" s="12" customFormat="1" ht="15" customHeight="1">
      <x:c r="A2" s="16" t="inlineStr">
        <x:is>
          <x:t xml:space="preserve">HIV_LAI_LAUNCH</x:t>
        </x:is>
      </x:c>
      <x:c r="B2" s="16" t="inlineStr">
        <x:is>
          <x:t xml:space="preserve">SIG_HIV_01</x:t>
        </x:is>
      </x:c>
      <x:c r="C2" s="16" t="inlineStr">
        <x:is>
          <x:t xml:space="preserve">HIV_LAI_LAUNCH_ST01</x:t>
        </x:is>
      </x:c>
      <x:c r="D2" s="16" t="inlineStr">
        <x:is>
          <x:t xml:space="preserve">EV1</x:t>
        </x:is>
      </x:c>
      <x:c r="E2" s="16" t="inlineStr">
        <x:is>
          <x:t xml:space="preserve">4</x:t>
        </x:is>
      </x:c>
      <x:c r="F2" s="16" t="inlineStr">
        <x:is>
          <x:t xml:space="preserve">High</x:t>
        </x:is>
      </x:c>
      <x:c r="G2" s="16" t="inlineStr">
        <x:is>
          <x:t xml:space="preserve">High</x:t>
        </x:is>
      </x:c>
      <x:c r="H2" s="16" t="inlineStr">
        <x:is>
          <x:t xml:space="preserve">EvidenceStrength uses 1-5 scale from Evidence_Strength_Lookup and must derive from Evidence_Register.</x:t>
        </x:is>
      </x:c>
      <x:c r="I2" t="inlineStr">
        <x:is>
          <x:t xml:space="preserve">IR4</x:t>
        </x:is>
      </x:c>
    </x:row>
    <x:row r="3" s="12" customFormat="1" ht="15" customHeight="1">
      <x:c r="A3" s="16" t="inlineStr">
        <x:is>
          <x:t xml:space="preserve">HIV_LAI_LAUNCH</x:t>
        </x:is>
      </x:c>
      <x:c r="B3" s="16" t="inlineStr">
        <x:is>
          <x:t xml:space="preserve">SIG_HIV_02</x:t>
        </x:is>
      </x:c>
      <x:c r="C3" s="16" t="inlineStr">
        <x:is>
          <x:t xml:space="preserve">HIV_LAI_LAUNCH_ST02</x:t>
        </x:is>
      </x:c>
      <x:c r="D3" s="16" t="inlineStr">
        <x:is>
          <x:t xml:space="preserve">EV3</x:t>
        </x:is>
      </x:c>
      <x:c r="E3" s="16" t="inlineStr">
        <x:is>
          <x:t xml:space="preserve">5</x:t>
        </x:is>
      </x:c>
      <x:c r="F3" s="16" t="inlineStr">
        <x:is>
          <x:t xml:space="preserve">High</x:t>
        </x:is>
      </x:c>
      <x:c r="G3" s="16" t="inlineStr">
        <x:is>
          <x:t xml:space="preserve">High</x:t>
        </x:is>
      </x:c>
      <x:c r="H3" s="16" t="inlineStr">
        <x:is>
          <x:t xml:space="preserve">EvidenceStrength uses 1-5 scale from Evidence_Strength_Lookup and must derive from Evidence_Register.</x:t>
        </x:is>
      </x:c>
      <x:c r="I3" t="inlineStr">
        <x:is>
          <x:t xml:space="preserve">IR4</x:t>
        </x:is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0" style="11" customWidth="1"/>
    <x:col min="2" max="2" width="24" style="11" customWidth="1"/>
    <x:col min="3" max="3" width="48" style="11" customWidth="1"/>
    <x:col min="4" max="4" width="14" style="11" customWidth="1"/>
    <x:col min="5" max="5" width="60" style="11" customWidth="1"/>
  </x:cols>
  <x:sheetData>
    <x:row r="1" s="12" customFormat="1" ht="15" customHeight="1">
      <x:c r="A1" s="25" t="inlineStr">
        <x:is>
          <x:t xml:space="preserve">ProgramID</x:t>
        </x:is>
      </x:c>
      <x:c r="B1" s="25" t="inlineStr">
        <x:is>
          <x:t xml:space="preserve">Step</x:t>
        </x:is>
      </x:c>
      <x:c r="C1" s="25" t="inlineStr">
        <x:is>
          <x:t xml:space="preserve">ExampleArtifact</x:t>
        </x:is>
      </x:c>
      <x:c r="D1" s="25" t="inlineStr">
        <x:is>
          <x:t xml:space="preserve">Status</x:t>
        </x:is>
      </x:c>
      <x:c r="E1" s="25" t="inlineStr">
        <x:is>
          <x:t xml:space="preserve">Notes</x:t>
        </x:is>
      </x:c>
    </x:row>
    <x:row r="2" s="12" customFormat="1" ht="15" customHeight="1">
      <x:c r="A2" s="16" t="inlineStr">
        <x:is>
          <x:t xml:space="preserve">HIV_LAI_LAUNCH</x:t>
        </x:is>
      </x:c>
      <x:c r="B2" s="16" t="inlineStr">
        <x:is>
          <x:t xml:space="preserve">Program setup</x:t>
        </x:is>
      </x:c>
      <x:c r="C2" s="16" t="inlineStr">
        <x:is>
          <x:t xml:space="preserve">Program_Header populated</x:t>
        </x:is>
      </x:c>
      <x:c r="D2" s="16" t="inlineStr">
        <x:is>
          <x:t xml:space="preserve">Complete</x:t>
        </x:is>
      </x:c>
      <x:c r="E2" s="16" t="inlineStr">
        <x:is>
          <x:t xml:space="preserve">Single end-to-end example for developer testing.</x:t>
        </x:is>
      </x:c>
    </x:row>
    <x:row r="3" s="12" customFormat="1" ht="15" customHeight="1">
      <x:c r="A3" s="16" t="inlineStr">
        <x:is>
          <x:t xml:space="preserve">HIV_LAI_LAUNCH</x:t>
        </x:is>
      </x:c>
      <x:c r="B3" s="16" t="inlineStr">
        <x:is>
          <x:t xml:space="preserve">Belief decomposition</x:t>
        </x:is>
      </x:c>
      <x:c r="C3" s="16" t="inlineStr">
        <x:is>
          <x:t xml:space="preserve">Belief_Shift_Canvas + Belief_to_Statement_Engine</x:t>
        </x:is>
      </x:c>
      <x:c r="D3" s="16" t="inlineStr">
        <x:is>
          <x:t xml:space="preserve">Complete</x:t>
        </x:is>
      </x:c>
      <x:c r="E3" s="16" t="inlineStr">
        <x:is>
          <x:t xml:space="preserve">Three statements across multiple claim/subbelief types.</x:t>
        </x:is>
      </x:c>
    </x:row>
    <x:row r="4" s="12" customFormat="1" ht="28.350000381469727" customHeight="1">
      <x:c r="A4" s="16" t="inlineStr">
        <x:is>
          <x:t xml:space="preserve">HIV_LAI_LAUNCH</x:t>
        </x:is>
      </x:c>
      <x:c r="B4" s="16" t="inlineStr">
        <x:is>
          <x:t xml:space="preserve">Extraction</x:t>
        </x:is>
      </x:c>
      <x:c r="C4" s="16" t="inlineStr">
        <x:is>
          <x:t xml:space="preserve">Extraction_Contract + Acquisition_List + Candidate_Evidence</x:t>
        </x:is>
      </x:c>
      <x:c r="D4" s="16" t="inlineStr">
        <x:is>
          <x:t xml:space="preserve">Complete</x:t>
        </x:is>
      </x:c>
      <x:c r="E4" s="16" t="inlineStr">
        <x:is>
          <x:t xml:space="preserve">Includes one reject and one review example.</x:t>
        </x:is>
      </x:c>
    </x:row>
    <x:row r="5" s="12" customFormat="1" ht="15" customHeight="1">
      <x:c r="A5" s="16" t="inlineStr">
        <x:is>
          <x:t xml:space="preserve">HIV_LAI_LAUNCH</x:t>
        </x:is>
      </x:c>
      <x:c r="B5" s="16" t="inlineStr">
        <x:is>
          <x:t xml:space="preserve">Validation</x:t>
        </x:is>
      </x:c>
      <x:c r="C5" s="16" t="inlineStr">
        <x:is>
          <x:t xml:space="preserve">Validation_Log + Validation_Engine + Evidence_Register</x:t>
        </x:is>
      </x:c>
      <x:c r="D5" s="16" t="inlineStr">
        <x:is>
          <x:t xml:space="preserve">Complete</x:t>
        </x:is>
      </x:c>
      <x:c r="E5" s="16" t="inlineStr">
        <x:is>
          <x:t xml:space="preserve">Statement-level summary plus candidate-level audit trail.</x:t>
        </x:is>
      </x:c>
    </x:row>
    <x:row r="6" s="12" customFormat="1" ht="15" customHeight="1">
      <x:c r="A6" s="16" t="inlineStr">
        <x:is>
          <x:t xml:space="preserve">HIV_LAI_LAUNCH</x:t>
        </x:is>
      </x:c>
      <x:c r="B6" s="16" t="inlineStr">
        <x:is>
          <x:t xml:space="preserve">Output</x:t>
        </x:is>
      </x:c>
      <x:c r="C6" s="16" t="inlineStr">
        <x:is>
          <x:t xml:space="preserve">Medical_Map_Output + downstream interfaces</x:t>
        </x:is>
      </x:c>
      <x:c r="D6" s="16" t="inlineStr">
        <x:is>
          <x:t xml:space="preserve">Complete</x:t>
        </x:is>
      </x:c>
      <x:c r="E6" s="16" t="inlineStr">
        <x:is>
          <x:t xml:space="preserve">One blocked output row demonstrates hard gate behavior.</x:t>
        </x:is>
      </x:c>
    </x:row>
    <x:row r="7"/>
    <x:row r="8">
      <x:c r="A8" t="inlineStr">
        <x:is>
          <x:t xml:space="preserve">V12 additions</x:t>
        </x:is>
      </x:c>
    </x:row>
    <x:row r="9">
      <x:c r="A9" t="inlineStr">
        <x:is>
          <x:t xml:space="preserve">EvidenceStrength derives from validated evidence per Evidence_Strength_Lookup. Statement_Blueprint approval plus validated evidence is required before promotion to Medical_Map_Output.</x:t>
        </x:is>
      </x:c>
    </x:row>
    <x:row r="10">
      <x:c r="A10" s="63" t="str">
        <x:v>HIV_LAI_LAUNCH</x:v>
      </x:c>
      <x:c r="B10" s="63" t="str">
        <x:v>BAOS</x:v>
      </x:c>
      <x:c r="C10" s="63" t="str">
        <x:v>BAOS_Wall + BAOS_Engine</x:v>
      </x:c>
      <x:c r="D10" s="63" t="str">
        <x:v>Complete</x:v>
      </x:c>
      <x:c r="E10" s="63" t="str">
        <x:v>Two objection-engine rows added and linked to MIOS interface + evidence output.</x:v>
      </x:c>
    </x:row>
    <x:row r="11">
      <x:c r="A11" s="63" t="str">
        <x:v>V13 additions</x:v>
      </x:c>
      <x:c r="B11" s="63"/>
      <x:c r="C11" s="63"/>
      <x:c r="D11" s="63"/>
      <x:c r="E11" s="63"/>
    </x:row>
    <x:row r="12">
      <x:c r="A12" s="63" t="str">
        <x:v>BAOS architecture</x:v>
      </x:c>
      <x:c r="B12" s="63" t="str">
        <x:v>6 barrier clusters, 25 cognitive lens types, and MIOS feedback loop added to workbook.</x:v>
      </x:c>
      <x:c r="C12" s="63"/>
      <x:c r="D12" s="63"/>
      <x:c r="E12" s="63"/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baseColWidth="8" defaultRowHeight="15"/>
  <x:cols>
    <x:col min="1" max="1" width="19" style="12" customWidth="1"/>
    <x:col min="2" max="2" width="14" style="12" customWidth="1"/>
    <x:col min="3" max="3" width="14" style="12" customWidth="1"/>
  </x:cols>
  <x:sheetData>
    <x:row r="1">
      <x:c r="A1" s="13" t="inlineStr">
        <x:is>
          <x:t xml:space="preserve">EvidenceStrength</x:t>
        </x:is>
      </x:c>
      <x:c r="B1" s="13" t="inlineStr">
        <x:is>
          <x:t xml:space="preserve">Definition</x:t>
        </x:is>
      </x:c>
      <x:c r="C1" s="13" t="inlineStr">
        <x:is>
          <x:t xml:space="preserve">DerivedRule</x:t>
        </x:is>
      </x:c>
    </x:row>
    <x:row r="2">
      <x:c r="A2" t="inlineStr">
        <x:is>
          <x:t xml:space="preserve">5</x:t>
        </x:is>
      </x:c>
      <x:c r="B2" t="inlineStr">
        <x:is>
          <x:t xml:space="preserve">Strong</x:t>
        </x:is>
      </x:c>
      <x:c r="C2" t="inlineStr">
        <x:is>
          <x:t xml:space="preserve">&gt;=2 validated evidence records with at least 1 Tier A source or guideline-grade support</x:t>
        </x:is>
      </x:c>
    </x:row>
    <x:row r="3">
      <x:c r="A3" t="inlineStr">
        <x:is>
          <x:t xml:space="preserve">4</x:t>
        </x:is>
      </x:c>
      <x:c r="B3" t="inlineStr">
        <x:is>
          <x:t xml:space="preserve">Moderate-Strong</x:t>
        </x:is>
      </x:c>
      <x:c r="C3" t="inlineStr">
        <x:is>
          <x:t xml:space="preserve">&gt;=1 validated Tier A record plus &gt;=1 additional validated record</x:t>
        </x:is>
      </x:c>
    </x:row>
    <x:row r="4">
      <x:c r="A4" t="inlineStr">
        <x:is>
          <x:t xml:space="preserve">3</x:t>
        </x:is>
      </x:c>
      <x:c r="B4" t="inlineStr">
        <x:is>
          <x:t xml:space="preserve">Moderate</x:t>
        </x:is>
      </x:c>
      <x:c r="C4" t="inlineStr">
        <x:is>
          <x:t xml:space="preserve">&gt;=2 validated Tier B records and no contradiction flag</x:t>
        </x:is>
      </x:c>
    </x:row>
    <x:row r="5">
      <x:c r="A5" t="inlineStr">
        <x:is>
          <x:t xml:space="preserve">2</x:t>
        </x:is>
      </x:c>
      <x:c r="B5" t="inlineStr">
        <x:is>
          <x:t xml:space="preserve">Emerging</x:t>
        </x:is>
      </x:c>
      <x:c r="C5" t="inlineStr">
        <x:is>
          <x:t xml:space="preserve">&gt;=1 validated Tier B record or multiple contextual validated records</x:t>
        </x:is>
      </x:c>
    </x:row>
    <x:row r="6">
      <x:c r="A6" t="inlineStr">
        <x:is>
          <x:t xml:space="preserve">1</x:t>
        </x:is>
      </x:c>
      <x:c r="B6" t="inlineStr">
        <x:is>
          <x:t xml:space="preserve">Weak</x:t>
        </x:is>
      </x:c>
      <x:c r="C6" t="inlineStr">
        <x:is>
          <x:t xml:space="preserve">Only Tier C/contextual evidence or unresolved evidence gaps</x:t>
        </x:is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baseColWidth="8" defaultRowHeight="15"/>
  <x:cols>
    <x:col min="1" max="1" width="14" style="12" customWidth="1"/>
    <x:col min="2" max="2" width="14" style="12" customWidth="1"/>
    <x:col min="3" max="3" width="14" style="12" customWidth="1"/>
    <x:col min="4" max="4" width="14" style="12" customWidth="1"/>
  </x:cols>
  <x:sheetData>
    <x:row r="1">
      <x:c r="A1" s="13" t="inlineStr">
        <x:is>
          <x:t xml:space="preserve">RuleID</x:t>
        </x:is>
      </x:c>
      <x:c r="B1" s="13" t="inlineStr">
        <x:is>
          <x:t xml:space="preserve">Condition</x:t>
        </x:is>
      </x:c>
      <x:c r="C1" s="13" t="inlineStr">
        <x:is>
          <x:t xml:space="preserve">Route</x:t>
        </x:is>
      </x:c>
      <x:c r="D1" s="13" t="inlineStr">
        <x:is>
          <x:t xml:space="preserve">Rationale</x:t>
        </x:is>
      </x:c>
    </x:row>
    <x:row r="2">
      <x:c r="A2" t="inlineStr">
        <x:is>
          <x:t xml:space="preserve">IR1</x:t>
        </x:is>
      </x:c>
      <x:c r="B2" t="inlineStr">
        <x:is>
          <x:t xml:space="preserve">ClaimType = Clinical efficacy AND SupportLevel in {Moderate,Strong}</x:t>
        </x:is>
      </x:c>
      <x:c r="C2" t="inlineStr">
        <x:is>
          <x:t xml:space="preserve">OHOS + CIOS</x:t>
        </x:is>
      </x:c>
      <x:c r="D2" t="inlineStr">
        <x:is>
          <x:t xml:space="preserve">Core adoption-driving claims should inform both objection handling and forecasting</x:t>
        </x:is>
      </x:c>
    </x:row>
    <x:row r="3">
      <x:c r="A3" t="inlineStr">
        <x:is>
          <x:t xml:space="preserve">IR2</x:t>
        </x:is>
      </x:c>
      <x:c r="B3" t="inlineStr">
        <x:is>
          <x:t xml:space="preserve">ClaimType = Mechanism OR ClaimType = Endpoint interpretation</x:t>
        </x:is>
      </x:c>
      <x:c r="C3" t="inlineStr">
        <x:is>
          <x:t xml:space="preserve">OHOS</x:t>
        </x:is>
      </x:c>
      <x:c r="D3" t="inlineStr">
        <x:is>
          <x:t xml:space="preserve">These primarily resolve understanding or evidence-confidence barriers</x:t>
        </x:is>
      </x:c>
    </x:row>
    <x:row r="4">
      <x:c r="A4" t="inlineStr">
        <x:is>
          <x:t xml:space="preserve">IR3</x:t>
        </x:is>
      </x:c>
      <x:c r="B4" t="inlineStr">
        <x:is>
          <x:t xml:space="preserve">ClaimType = Practice pattern OR ClaimType = Generalizability</x:t>
        </x:is>
      </x:c>
      <x:c r="C4" t="inlineStr">
        <x:is>
          <x:t xml:space="preserve">OHOS + CIOS</x:t>
        </x:is>
      </x:c>
      <x:c r="D4" t="inlineStr">
        <x:is>
          <x:t xml:space="preserve">These influence practical objections and adoption probability</x:t>
        </x:is>
      </x:c>
    </x:row>
    <x:row r="5">
      <x:c r="A5" t="inlineStr">
        <x:is>
          <x:t xml:space="preserve">IR4</x:t>
        </x:is>
      </x:c>
      <x:c r="B5" t="inlineStr">
        <x:is>
          <x:t xml:space="preserve">StrategicPriority = High AND validated evidence exists</x:t>
        </x:is>
      </x:c>
      <x:c r="C5" t="inlineStr">
        <x:is>
          <x:t xml:space="preserve">CIOS</x:t>
        </x:is>
      </x:c>
      <x:c r="D5" t="inlineStr">
        <x:is>
          <x:t xml:space="preserve">High-priority validated statements can be transformed into forecast signals</x:t>
        </x:is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baseColWidth="8" defaultRowHeight="15"/>
  <x:cols>
    <x:col min="1" max="1" width="14" style="12" customWidth="1"/>
    <x:col min="2" max="2" width="14" style="12" customWidth="1"/>
    <x:col min="3" max="3" width="14" style="12" customWidth="1"/>
  </x:cols>
  <x:sheetData>
    <x:row r="1">
      <x:c r="A1" s="13" t="inlineStr">
        <x:is>
          <x:t xml:space="preserve">RuleID</x:t>
        </x:is>
      </x:c>
      <x:c r="B1" s="13" t="inlineStr">
        <x:is>
          <x:t xml:space="preserve">AppliesTo</x:t>
        </x:is>
      </x:c>
      <x:c r="C1" s="13" t="inlineStr">
        <x:is>
          <x:t xml:space="preserve">RuleText</x:t>
        </x:is>
      </x:c>
    </x:row>
    <x:row r="2">
      <x:c r="A2" t="inlineStr">
        <x:is>
          <x:t xml:space="preserve">G1</x:t>
        </x:is>
      </x:c>
      <x:c r="B2" t="inlineStr">
        <x:is>
          <x:t xml:space="preserve">Medical_Map_Output</x:t>
        </x:is>
      </x:c>
      <x:c r="C2" t="inlineStr">
        <x:is>
          <x:t xml:space="preserve">A ScientificStatement cannot appear as supported in Medical_Map_Output unless at least one matching Evidence_Register row has ValidationStatus = Validated.</x:t>
        </x:is>
      </x:c>
    </x:row>
    <x:row r="3">
      <x:c r="A3" t="inlineStr">
        <x:is>
          <x:t xml:space="preserve">G2</x:t>
        </x:is>
      </x:c>
      <x:c r="B3" t="inlineStr">
        <x:is>
          <x:t xml:space="preserve">Medical_Map_Output</x:t>
        </x:is>
      </x:c>
      <x:c r="C3" t="inlineStr">
        <x:is>
          <x:t xml:space="preserve">Evidence used in Medical_Map_Output must include PMID, source file, and page reference.</x:t>
        </x:is>
      </x:c>
    </x:row>
    <x:row r="4">
      <x:c r="A4" t="inlineStr">
        <x:is>
          <x:t xml:space="preserve">G3</x:t>
        </x:is>
      </x:c>
      <x:c r="B4" t="inlineStr">
        <x:is>
          <x:t xml:space="preserve">Statement_Blueprint -&gt; Medical_Map_Output</x:t>
        </x:is>
      </x:c>
      <x:c r="C4" t="inlineStr">
        <x:is>
          <x:t xml:space="preserve">Only statements with ApprovalStatus = Approved or Final Approved are eligible for promotion after evidence validation.</x:t>
        </x:is>
      </x:c>
    </x:row>
    <x:row r="5">
      <x:c r="A5" t="inlineStr">
        <x:is>
          <x:t xml:space="preserve">G4</x:t>
        </x:is>
      </x:c>
      <x:c r="B5" t="inlineStr">
        <x:is>
          <x:t xml:space="preserve">MIOS_to_CIOS_Interface</x:t>
        </x:is>
      </x:c>
      <x:c r="C5" t="inlineStr">
        <x:is>
          <x:t xml:space="preserve">Every CIOS signal must reference a validated EvidenceID and StatementID.</x:t>
        </x:is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55" hidden="0" customWidth="1"/>
    <x:col min="4" max="4" width="12" hidden="0" customWidth="1"/>
    <x:col min="5" max="5" width="28" hidden="0" customWidth="1"/>
  </x:cols>
  <x:sheetData>
    <x:row r="1">
      <x:c r="A1" s="69" t="str">
        <x:v>ClusterID</x:v>
      </x:c>
      <x:c r="B1" s="69" t="str">
        <x:v>BarrierCluster</x:v>
      </x:c>
      <x:c r="C1" s="69" t="str">
        <x:v>ShortDefinition</x:v>
      </x:c>
      <x:c r="D1" s="69" t="str">
        <x:v>ColorTag</x:v>
      </x:c>
      <x:c r="E1" s="69" t="str">
        <x:v>SystemPurpose</x:v>
      </x:c>
      <x:c r="F1" s="69" t="str">
        <x:v>DefaultUmbrellaObjection</x:v>
      </x:c>
      <x:c r="G1" s="69" t="str">
        <x:v>DefaultFeedbackToMIOS</x:v>
      </x:c>
    </x:row>
    <x:row r="2">
      <x:c r="A2" s="32" t="str">
        <x:v>BC1</x:v>
      </x:c>
      <x:c r="B2" s="32" t="str">
        <x:v>Evidence &amp; Data Quality</x:v>
      </x:c>
      <x:c r="C2" s="32" t="str">
        <x:v>Physician questions credibility, sufficiency, design, or generalizability of the data.</x:v>
      </x:c>
      <x:c r="D2" s="32" t="str">
        <x:v>Teal</x:v>
      </x:c>
      <x:c r="E2" s="32" t="str">
        <x:v>Resolve evidence-confidence barriers</x:v>
      </x:c>
      <x:c r="F2" s="63" t="str">
        <x:v>The evidence may be directionally encouraging, but I am not yet convinced it is sufficiently credible, coherent, or practice-relevant to change behavior.</x:v>
      </x:c>
      <x:c r="G2" s="63" t="str">
        <x:v>Use resolved evidence-confidence barriers to identify where MIOS needs stronger corroboration, interpretability, or validation support.</x:v>
      </x:c>
    </x:row>
    <x:row r="3">
      <x:c r="A3" s="32" t="str">
        <x:v>BC2</x:v>
      </x:c>
      <x:c r="B3" s="32" t="str">
        <x:v>Clinical Reasoning</x:v>
      </x:c>
      <x:c r="C3" s="32" t="str">
        <x:v>Physician cannot connect evidence to real patients, treatment logic, or practice decisions.</x:v>
      </x:c>
      <x:c r="D3" s="32" t="str">
        <x:v>Green</x:v>
      </x:c>
      <x:c r="E3" s="32" t="str">
        <x:v>Translate evidence into practical clinical meaning</x:v>
      </x:c>
      <x:c r="F3" s="63" t="str">
        <x:v>Even if the evidence is positive, I still need to understand which patients fit, where this belongs in care, and how to use it in practice.</x:v>
      </x:c>
      <x:c r="G3" s="63" t="str">
        <x:v>Use recurring reasoning barriers to sharpen patient-selection logic, sequencing statements, and practice-translation content in MIOS.</x:v>
      </x:c>
    </x:row>
    <x:row r="4">
      <x:c r="A4" s="32" t="str">
        <x:v>BC3</x:v>
      </x:c>
      <x:c r="B4" s="32" t="str">
        <x:v>Risk &amp; Safety Cognition</x:v>
      </x:c>
      <x:c r="C4" s="32" t="str">
        <x:v>Prior experience or safety concern creates entrenched hesitancy.</x:v>
      </x:c>
      <x:c r="D4" s="32" t="str">
        <x:v>Red</x:v>
      </x:c>
      <x:c r="E4" s="32" t="str">
        <x:v>Address safety-framed resistance</x:v>
      </x:c>
      <x:c r="F4" s="63" t="str">
        <x:v>Prior safety concerns or perceived tradeoffs continue to outweigh the benefit signal, creating entrenched hesitation.</x:v>
      </x:c>
      <x:c r="G4" s="63" t="str">
        <x:v>Use safety objections to expose where MIOS needs clearer tradeoff framing, monitoring explanation, or context around prior experience.</x:v>
      </x:c>
    </x:row>
    <x:row r="5">
      <x:c r="A5" s="32" t="str">
        <x:v>BC4</x:v>
      </x:c>
      <x:c r="B5" s="32" t="str">
        <x:v>Identity &amp; Role Cognition</x:v>
      </x:c>
      <x:c r="C5" s="32" t="str">
        <x:v>Drug does not align with how the physician sees their professional role.</x:v>
      </x:c>
      <x:c r="D5" s="32" t="str">
        <x:v>Purple</x:v>
      </x:c>
      <x:c r="E5" s="32" t="str">
        <x:v>Resolve self-concept or practice-identity friction</x:v>
      </x:c>
      <x:c r="F5" s="63" t="str">
        <x:v>Adoption does not yet feel aligned with how I define responsible practice or with the type of clinician I am trying to be.</x:v>
      </x:c>
      <x:c r="G5" s="63" t="str">
        <x:v>Use identity-based objections to refine MIOS messaging around professional role, responsibility, and standard-of-care alignment.</x:v>
      </x:c>
    </x:row>
    <x:row r="6">
      <x:c r="A6" s="32" t="str">
        <x:v>BC5</x:v>
      </x:c>
      <x:c r="B6" s="32" t="str">
        <x:v>Systemic &amp; Structural</x:v>
      </x:c>
      <x:c r="C6" s="32" t="str">
        <x:v>Payer, workflow, access, logistics, or institutional forces block use despite intent.</x:v>
      </x:c>
      <x:c r="D6" s="32" t="str">
        <x:v>Gold</x:v>
      </x:c>
      <x:c r="E6" s="32" t="str">
        <x:v>Surface non-clinical adoption barriers</x:v>
      </x:c>
      <x:c r="F6" s="63" t="str">
        <x:v>Even with clinical interest, structural barriers such as access, workflow, or logistics still block prescribing.</x:v>
      </x:c>
      <x:c r="G6" s="63" t="str">
        <x:v>Use structural objections to identify where MIOS needs stronger implementation language, access evidence, or operational support points.</x:v>
      </x:c>
    </x:row>
    <x:row r="7">
      <x:c r="A7" s="32" t="str">
        <x:v>BC6</x:v>
      </x:c>
      <x:c r="B7" s="32" t="str">
        <x:v>Competitive &amp; Comparative</x:v>
      </x:c>
      <x:c r="C7" s="32" t="str">
        <x:v>Current standard or competing option remains cognitively anchored as the better choice.</x:v>
      </x:c>
      <x:c r="D7" s="32" t="str">
        <x:v>Red</x:v>
      </x:c>
      <x:c r="E7" s="32" t="str">
        <x:v>Resolve comparative and switching barriers</x:v>
      </x:c>
      <x:c r="F7" s="63" t="str">
        <x:v>The current option still feels more familiar, differentiated, or easier to justify than making a switch.</x:v>
      </x:c>
      <x:c r="G7" s="63" t="str">
        <x:v>Use comparative barriers to show where MIOS must strengthen differentiation, switching logic, or head-to-head framing.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24" hidden="0" customWidth="1"/>
    <x:col min="4" max="4" width="52" hidden="0" customWidth="1"/>
    <x:col min="5" max="5" width="36" hidden="0" customWidth="1"/>
  </x:cols>
  <x:sheetData>
    <x:row r="1">
      <x:c r="A1" s="29" t="str">
        <x:v>LensID</x:v>
      </x:c>
      <x:c r="B1" s="29" t="str">
        <x:v>BarrierCluster</x:v>
      </x:c>
      <x:c r="C1" s="29" t="str">
        <x:v>ClinicalReasoningLens</x:v>
      </x:c>
      <x:c r="D1" s="29" t="str">
        <x:v>LensDefinition</x:v>
      </x:c>
      <x:c r="E1" s="29" t="str">
        <x:v>DefaultQuestionPattern</x:v>
      </x:c>
    </x:row>
    <x:row r="2">
      <x:c r="A2" s="32" t="str">
        <x:v>L01</x:v>
      </x:c>
      <x:c r="B2" s="32" t="str">
        <x:v>Evidence &amp; Data Quality</x:v>
      </x:c>
      <x:c r="C2" s="32" t="str">
        <x:v>Evidence credibility</x:v>
      </x:c>
      <x:c r="D2" s="32" t="str">
        <x:v>Can the physician trust the source, design, and integrity of the evidence?</x:v>
      </x:c>
      <x:c r="E2" s="32" t="str">
        <x:v>Why should I trust these data?</x:v>
      </x:c>
    </x:row>
    <x:row r="3">
      <x:c r="A3" s="32" t="str">
        <x:v>L02</x:v>
      </x:c>
      <x:c r="B3" s="32" t="str">
        <x:v>Evidence &amp; Data Quality</x:v>
      </x:c>
      <x:c r="C3" s="32" t="str">
        <x:v>Signal integration</x:v>
      </x:c>
      <x:c r="D3" s="32" t="str">
        <x:v>How should multiple endpoints or signals be weighed together?</x:v>
      </x:c>
      <x:c r="E3" s="32" t="str">
        <x:v>How do these signals fit together?</x:v>
      </x:c>
    </x:row>
    <x:row r="4">
      <x:c r="A4" s="32" t="str">
        <x:v>L03</x:v>
      </x:c>
      <x:c r="B4" s="32" t="str">
        <x:v>Clinical Reasoning</x:v>
      </x:c>
      <x:c r="C4" s="32" t="str">
        <x:v>Infection control confidence</x:v>
      </x:c>
      <x:c r="D4" s="32" t="str">
        <x:v>Does the evidence reflect true disease control rather than noise?</x:v>
      </x:c>
      <x:c r="E4" s="32" t="str">
        <x:v>Does this really show control?</x:v>
      </x:c>
    </x:row>
    <x:row r="5">
      <x:c r="A5" s="32" t="str">
        <x:v>L04</x:v>
      </x:c>
      <x:c r="B5" s="32" t="str">
        <x:v>Evidence &amp; Data Quality</x:v>
      </x:c>
      <x:c r="C5" s="32" t="str">
        <x:v>Corroboration</x:v>
      </x:c>
      <x:c r="D5" s="32" t="str">
        <x:v>Is there independent support from related studies or real-world evidence?</x:v>
      </x:c>
      <x:c r="E5" s="32" t="str">
        <x:v>What else supports this finding?</x:v>
      </x:c>
    </x:row>
    <x:row r="6">
      <x:c r="A6" s="32" t="str">
        <x:v>L05</x:v>
      </x:c>
      <x:c r="B6" s="32" t="str">
        <x:v>Evidence &amp; Data Quality</x:v>
      </x:c>
      <x:c r="C6" s="32" t="str">
        <x:v>Measurement reliability</x:v>
      </x:c>
      <x:c r="D6" s="32" t="str">
        <x:v>Are the instruments and endpoints stable, repeatable, and interpretable?</x:v>
      </x:c>
      <x:c r="E6" s="32" t="str">
        <x:v>Can I rely on this measure?</x:v>
      </x:c>
    </x:row>
    <x:row r="7">
      <x:c r="A7" s="32" t="str">
        <x:v>L06</x:v>
      </x:c>
      <x:c r="B7" s="32" t="str">
        <x:v>Evidence &amp; Data Quality</x:v>
      </x:c>
      <x:c r="C7" s="32" t="str">
        <x:v>Evidence sufficiency</x:v>
      </x:c>
      <x:c r="D7" s="32" t="str">
        <x:v>Is the body of evidence strong enough to justify action?</x:v>
      </x:c>
      <x:c r="E7" s="32" t="str">
        <x:v>Is there enough evidence yet?</x:v>
      </x:c>
    </x:row>
    <x:row r="8">
      <x:c r="A8" s="32" t="str">
        <x:v>L07</x:v>
      </x:c>
      <x:c r="B8" s="32" t="str">
        <x:v>Evidence &amp; Data Quality</x:v>
      </x:c>
      <x:c r="C8" s="32" t="str">
        <x:v>Evidence continuity</x:v>
      </x:c>
      <x:c r="D8" s="32" t="str">
        <x:v>Do newer data strengthen prior observations?</x:v>
      </x:c>
      <x:c r="E8" s="32" t="str">
        <x:v>What adds confidence beyond earlier data?</x:v>
      </x:c>
    </x:row>
    <x:row r="9">
      <x:c r="A9" s="32" t="str">
        <x:v>L08</x:v>
      </x:c>
      <x:c r="B9" s="32" t="str">
        <x:v>Evidence &amp; Data Quality</x:v>
      </x:c>
      <x:c r="C9" s="32" t="str">
        <x:v>Design robustness</x:v>
      </x:c>
      <x:c r="D9" s="32" t="str">
        <x:v>Does the study design support the claim being made?</x:v>
      </x:c>
      <x:c r="E9" s="32" t="str">
        <x:v>How robust was the design?</x:v>
      </x:c>
    </x:row>
    <x:row r="10">
      <x:c r="A10" s="32" t="str">
        <x:v>L09</x:v>
      </x:c>
      <x:c r="B10" s="32" t="str">
        <x:v>Clinical Reasoning</x:v>
      </x:c>
      <x:c r="C10" s="32" t="str">
        <x:v>Design interpretability</x:v>
      </x:c>
      <x:c r="D10" s="32" t="str">
        <x:v>Can the clinician interpret the study in real practice terms?</x:v>
      </x:c>
      <x:c r="E10" s="32" t="str">
        <x:v>How do I read these results clinically?</x:v>
      </x:c>
    </x:row>
    <x:row r="11">
      <x:c r="A11" s="32" t="str">
        <x:v>L10</x:v>
      </x:c>
      <x:c r="B11" s="32" t="str">
        <x:v>Clinical Reasoning</x:v>
      </x:c>
      <x:c r="C11" s="32" t="str">
        <x:v>Generalizability</x:v>
      </x:c>
      <x:c r="D11" s="32" t="str">
        <x:v>Can these results be translated to the physician's own patient population?</x:v>
      </x:c>
      <x:c r="E11" s="32" t="str">
        <x:v>Will this apply to my patients?</x:v>
      </x:c>
    </x:row>
    <x:row r="12">
      <x:c r="A12" s="32" t="str">
        <x:v>L11</x:v>
      </x:c>
      <x:c r="B12" s="32" t="str">
        <x:v>Clinical Reasoning</x:v>
      </x:c>
      <x:c r="C12" s="32" t="str">
        <x:v>Patient selection logic</x:v>
      </x:c>
      <x:c r="D12" s="32" t="str">
        <x:v>Which patients are the right fit based on the evidence?</x:v>
      </x:c>
      <x:c r="E12" s="32" t="str">
        <x:v>Who is the right patient?</x:v>
      </x:c>
    </x:row>
    <x:row r="13">
      <x:c r="A13" s="32" t="str">
        <x:v>L12</x:v>
      </x:c>
      <x:c r="B13" s="32" t="str">
        <x:v>Clinical Reasoning</x:v>
      </x:c>
      <x:c r="C13" s="32" t="str">
        <x:v>Sequencing logic</x:v>
      </x:c>
      <x:c r="D13" s="32" t="str">
        <x:v>Where does this fit in the treatment journey?</x:v>
      </x:c>
      <x:c r="E13" s="32" t="str">
        <x:v>When should I use this?</x:v>
      </x:c>
    </x:row>
    <x:row r="14">
      <x:c r="A14" s="32" t="str">
        <x:v>L13</x:v>
      </x:c>
      <x:c r="B14" s="32" t="str">
        <x:v>Clinical Reasoning</x:v>
      </x:c>
      <x:c r="C14" s="32" t="str">
        <x:v>Magnitude relevance</x:v>
      </x:c>
      <x:c r="D14" s="32" t="str">
        <x:v>Is the size of benefit clinically meaningful?</x:v>
      </x:c>
      <x:c r="E14" s="32" t="str">
        <x:v>Is this benefit meaningful enough?</x:v>
      </x:c>
    </x:row>
    <x:row r="15">
      <x:c r="A15" s="32" t="str">
        <x:v>L14</x:v>
      </x:c>
      <x:c r="B15" s="32" t="str">
        <x:v>Clinical Reasoning</x:v>
      </x:c>
      <x:c r="C15" s="32" t="str">
        <x:v>Practice integration</x:v>
      </x:c>
      <x:c r="D15" s="32" t="str">
        <x:v>Can the evidence be operationalized without undue complexity?</x:v>
      </x:c>
      <x:c r="E15" s="32" t="str">
        <x:v>Can I actually use this in practice?</x:v>
      </x:c>
    </x:row>
    <x:row r="16">
      <x:c r="A16" s="32" t="str">
        <x:v>L15</x:v>
      </x:c>
      <x:c r="B16" s="32" t="str">
        <x:v>Risk &amp; Safety Cognition</x:v>
      </x:c>
      <x:c r="C16" s="32" t="str">
        <x:v>Safety memory</x:v>
      </x:c>
      <x:c r="D16" s="32" t="str">
        <x:v>Do prior adverse experiences dominate current perception?</x:v>
      </x:c>
      <x:c r="E16" s="32" t="str">
        <x:v>I worry about what happened before.</x:v>
      </x:c>
    </x:row>
    <x:row r="17">
      <x:c r="A17" s="32" t="str">
        <x:v>L16</x:v>
      </x:c>
      <x:c r="B17" s="32" t="str">
        <x:v>Risk &amp; Safety Cognition</x:v>
      </x:c>
      <x:c r="C17" s="32" t="str">
        <x:v>Risk tradeoff</x:v>
      </x:c>
      <x:c r="D17" s="32" t="str">
        <x:v>Does the benefit justify perceived risk?</x:v>
      </x:c>
      <x:c r="E17" s="32" t="str">
        <x:v>Is the tradeoff worth it?</x:v>
      </x:c>
    </x:row>
    <x:row r="18">
      <x:c r="A18" s="32" t="str">
        <x:v>L17</x:v>
      </x:c>
      <x:c r="B18" s="32" t="str">
        <x:v>Risk &amp; Safety Cognition</x:v>
      </x:c>
      <x:c r="C18" s="32" t="str">
        <x:v>Monitoring burden</x:v>
      </x:c>
      <x:c r="D18" s="32" t="str">
        <x:v>Does monitoring or follow-up create additional hesitation?</x:v>
      </x:c>
      <x:c r="E18" s="32" t="str">
        <x:v>Will this create too much monitoring?</x:v>
      </x:c>
    </x:row>
    <x:row r="19">
      <x:c r="A19" s="32" t="str">
        <x:v>L18</x:v>
      </x:c>
      <x:c r="B19" s="32" t="str">
        <x:v>Identity &amp; Role Cognition</x:v>
      </x:c>
      <x:c r="C19" s="32" t="str">
        <x:v>Prescriber identity</x:v>
      </x:c>
      <x:c r="D19" s="32" t="str">
        <x:v>Does using this fit how I see my role as a physician?</x:v>
      </x:c>
      <x:c r="E19" s="32" t="str">
        <x:v>Is this how I practice?</x:v>
      </x:c>
    </x:row>
    <x:row r="20">
      <x:c r="A20" s="32" t="str">
        <x:v>L19</x:v>
      </x:c>
      <x:c r="B20" s="32" t="str">
        <x:v>Identity &amp; Role Cognition</x:v>
      </x:c>
      <x:c r="C20" s="32" t="str">
        <x:v>Standard-of-care identity</x:v>
      </x:c>
      <x:c r="D20" s="32" t="str">
        <x:v>Would adoption feel like deviation from responsible care?</x:v>
      </x:c>
      <x:c r="E20" s="32" t="str">
        <x:v>Is this too far from standard practice?</x:v>
      </x:c>
    </x:row>
    <x:row r="21">
      <x:c r="A21" s="32" t="str">
        <x:v>L20</x:v>
      </x:c>
      <x:c r="B21" s="32" t="str">
        <x:v>Identity &amp; Role Cognition</x:v>
      </x:c>
      <x:c r="C21" s="32" t="str">
        <x:v>Professional confidence</x:v>
      </x:c>
      <x:c r="D21" s="32" t="str">
        <x:v>Would I feel confident defending this decision to peers or patients?</x:v>
      </x:c>
      <x:c r="E21" s="32" t="str">
        <x:v>Can I stand behind this choice?</x:v>
      </x:c>
    </x:row>
    <x:row r="22">
      <x:c r="A22" s="32" t="str">
        <x:v>L21</x:v>
      </x:c>
      <x:c r="B22" s="32" t="str">
        <x:v>Systemic &amp; Structural</x:v>
      </x:c>
      <x:c r="C22" s="32" t="str">
        <x:v>Access friction</x:v>
      </x:c>
      <x:c r="D22" s="32" t="str">
        <x:v>Coverage, authorization, or procurement block intent to prescribe.</x:v>
      </x:c>
      <x:c r="E22" s="32" t="str">
        <x:v>Will my patient even get access?</x:v>
      </x:c>
    </x:row>
    <x:row r="23">
      <x:c r="A23" s="32" t="str">
        <x:v>L22</x:v>
      </x:c>
      <x:c r="B23" s="32" t="str">
        <x:v>Systemic &amp; Structural</x:v>
      </x:c>
      <x:c r="C23" s="32" t="str">
        <x:v>Workflow burden</x:v>
      </x:c>
      <x:c r="D23" s="32" t="str">
        <x:v>Operational burden impedes use despite interest.</x:v>
      </x:c>
      <x:c r="E23" s="32" t="str">
        <x:v>Will this disrupt clinic workflow?</x:v>
      </x:c>
    </x:row>
    <x:row r="24">
      <x:c r="A24" s="32" t="str">
        <x:v>L23</x:v>
      </x:c>
      <x:c r="B24" s="32" t="str">
        <x:v>Systemic &amp; Structural</x:v>
      </x:c>
      <x:c r="C24" s="32" t="str">
        <x:v>Site-of-care constraint</x:v>
      </x:c>
      <x:c r="D24" s="32" t="str">
        <x:v>Institutional or setting requirements restrict use.</x:v>
      </x:c>
      <x:c r="E24" s="32" t="str">
        <x:v>Can my site actually support this?</x:v>
      </x:c>
    </x:row>
    <x:row r="25">
      <x:c r="A25" s="32" t="str">
        <x:v>L24</x:v>
      </x:c>
      <x:c r="B25" s="32" t="str">
        <x:v>Competitive &amp; Comparative</x:v>
      </x:c>
      <x:c r="C25" s="32" t="str">
        <x:v>Comparative anchor</x:v>
      </x:c>
      <x:c r="D25" s="32" t="str">
        <x:v>Existing therapy remains the cognitive benchmark.</x:v>
      </x:c>
      <x:c r="E25" s="32" t="str">
        <x:v>Why switch from what already works?</x:v>
      </x:c>
    </x:row>
    <x:row r="26">
      <x:c r="A26" s="32" t="str">
        <x:v>L25</x:v>
      </x:c>
      <x:c r="B26" s="32" t="str">
        <x:v>Competitive &amp; Comparative</x:v>
      </x:c>
      <x:c r="C26" s="32" t="str">
        <x:v>Differentiation threshold</x:v>
      </x:c>
      <x:c r="D26" s="32" t="str">
        <x:v>The new option does not yet appear sufficiently distinct.</x:v>
      </x:c>
      <x:c r="E26" s="32" t="str">
        <x:v>What is the compelling reason to change?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12" hidden="0" customWidth="1"/>
    <x:col min="4" max="4" width="40" hidden="0" customWidth="1"/>
    <x:col min="5" max="5" width="34" hidden="0" customWidth="1"/>
    <x:col min="6" max="6" width="22" hidden="0" customWidth="1"/>
    <x:col min="7" max="7" width="10" hidden="0" customWidth="1"/>
    <x:col min="8" max="8" width="20" hidden="0" customWidth="1"/>
    <x:col min="9" max="9" width="44" hidden="0" customWidth="1"/>
    <x:col min="10" max="10" width="28" hidden="0" customWidth="1"/>
    <x:col min="11" max="11" width="42" hidden="0" customWidth="1"/>
    <x:col min="12" max="12" width="34" hidden="0" customWidth="1"/>
    <x:col min="13" max="13" width="34" hidden="0" customWidth="1"/>
    <x:col min="14" max="14" width="12" hidden="0" customWidth="1"/>
    <x:col min="15" max="15" width="8" hidden="0" customWidth="1"/>
    <x:col min="16" max="16" width="18" hidden="0" customWidth="1"/>
    <x:col min="17" max="17" width="10" hidden="0" customWidth="1"/>
    <x:col min="18" max="18" width="10" hidden="0" customWidth="1"/>
  </x:cols>
  <x:sheetData>
    <x:row r="1">
      <x:c r="A1" s="76" t="str">
        <x:v>ProgramID</x:v>
      </x:c>
      <x:c r="B1" s="76" t="str">
        <x:v>StatementID</x:v>
      </x:c>
      <x:c r="C1" s="76" t="str">
        <x:v>SubBeliefID</x:v>
      </x:c>
      <x:c r="D1" s="76" t="str">
        <x:v>MIOS_Output</x:v>
      </x:c>
      <x:c r="E1" s="76" t="str">
        <x:v>UmbrellaObjection</x:v>
      </x:c>
      <x:c r="F1" s="76" t="str">
        <x:v>BarrierCluster</x:v>
      </x:c>
      <x:c r="G1" s="76" t="str">
        <x:v>LensID</x:v>
      </x:c>
      <x:c r="H1" s="76" t="str">
        <x:v>ClinicalReasoningLens</x:v>
      </x:c>
      <x:c r="I1" s="76" t="str">
        <x:v>SpecificHCPObjection</x:v>
      </x:c>
      <x:c r="J1" s="76" t="str">
        <x:v>MIOS_Evidence_Link</x:v>
      </x:c>
      <x:c r="K1" s="76" t="str">
        <x:v>EvidenceQuote</x:v>
      </x:c>
      <x:c r="L1" s="76" t="str">
        <x:v>ResolutionApproach</x:v>
      </x:c>
      <x:c r="M1" s="76" t="str">
        <x:v>Feedback_to_MIOS</x:v>
      </x:c>
      <x:c r="N1" s="76" t="str">
        <x:v>Status</x:v>
      </x:c>
      <x:c r="O1" s="76"/>
      <x:c r="P1" s="76"/>
      <x:c r="Q1" s="76"/>
      <x:c r="R1" s="76"/>
    </x:row>
    <x:row r="2">
      <x:c r="A2" s="33" t="str">
        <x:v>HIV_LAI_LAUNCH</x:v>
      </x:c>
      <x:c r="B2" s="33" t="str">
        <x:v>HIV_LAI_LAUNCH_ST01</x:v>
      </x:c>
      <x:c r="C2" s="33" t="str">
        <x:v>SB1</x:v>
      </x:c>
      <x:c r="D2" s="33" t="str">
        <x:v>Suboptimal adherence to daily oral ART is associated with increased risk of virologic rebound.</x:v>
      </x:c>
      <x:c r="E2" s="33" t="str">
        <x:v>The evidence may be directionally encouraging, but I am not yet convinced it is sufficiently credible, coherent, or practice-relevant to change behavior.</x:v>
      </x:c>
      <x:c r="F2" s="33" t="str">
        <x:v>Evidence &amp; Data Quality</x:v>
      </x:c>
      <x:c r="G2" s="33" t="str">
        <x:v>L01</x:v>
      </x:c>
      <x:c r="H2" s="33" t="str">
        <x:v>Evidence credibility</x:v>
      </x:c>
      <x:c r="I2" s="33" t="str">
        <x:v>Why should I trust these data? — Suboptimal adherence to daily oral ART is associated with increased risk of virologic rebound.</x:v>
      </x:c>
      <x:c r="J2" s="33" t="str">
        <x:v>EV1 | Oral_ART_Adherence_Study.pdf p6</x:v>
      </x:c>
      <x:c r="K2" s="33" t="str">
        <x:v>Participants with lower adherence had a higher risk of confirmed virologic rebound during follow-up.</x:v>
      </x:c>
      <x:c r="L2" s="33" t="str">
        <x:v>Resolve through the Evidence credibility lens using MIOS-linked evidence and translate the statement into a physician-usable answer.</x:v>
      </x:c>
      <x:c r="M2" s="33" t="str">
        <x:v>Use resolved evidence-confidence barriers to identify where MIOS needs stronger corroboration, interpretability, or validation support.</x:v>
      </x:c>
      <x:c r="N2" s="33" t="str">
        <x:v>Generated</x:v>
      </x:c>
      <x:c r="O2" s="63"/>
      <x:c r="P2" s="63"/>
      <x:c r="Q2" s="63"/>
      <x:c r="R2" s="63"/>
    </x:row>
    <x:row r="3">
      <x:c r="A3" s="33" t="str">
        <x:v>HIV_LAI_LAUNCH</x:v>
      </x:c>
      <x:c r="B3" s="33" t="str">
        <x:v>HIV_LAI_LAUNCH_ST01</x:v>
      </x:c>
      <x:c r="C3" s="33" t="str">
        <x:v>SB1</x:v>
      </x:c>
      <x:c r="D3" s="33" t="str">
        <x:v>Suboptimal adherence to daily oral ART is associated with increased risk of virologic rebound.</x:v>
      </x:c>
      <x:c r="E3" s="33" t="str">
        <x:v>The evidence may be directionally encouraging, but I am not yet convinced it is sufficiently credible, coherent, or practice-relevant to change behavior.</x:v>
      </x:c>
      <x:c r="F3" s="33" t="str">
        <x:v>Evidence &amp; Data Quality</x:v>
      </x:c>
      <x:c r="G3" s="33" t="str">
        <x:v>L02</x:v>
      </x:c>
      <x:c r="H3" s="33" t="str">
        <x:v>Signal integration</x:v>
      </x:c>
      <x:c r="I3" s="33" t="str">
        <x:v>How do these signals fit together? — Suboptimal adherence to daily oral ART is associated with increased risk of virologic rebound.</x:v>
      </x:c>
      <x:c r="J3" s="33" t="str">
        <x:v>EV1 | Oral_ART_Adherence_Study.pdf p6</x:v>
      </x:c>
      <x:c r="K3" s="33" t="str">
        <x:v>Participants with lower adherence had a higher risk of confirmed virologic rebound during follow-up.</x:v>
      </x:c>
      <x:c r="L3" s="33" t="str">
        <x:v>Resolve through the Signal integration lens using MIOS-linked evidence and translate the statement into a physician-usable answer.</x:v>
      </x:c>
      <x:c r="M3" s="33" t="str">
        <x:v>Use resolved evidence-confidence barriers to identify where MIOS needs stronger corroboration, interpretability, or validation support.</x:v>
      </x:c>
      <x:c r="N3" s="33" t="str">
        <x:v>Generated</x:v>
      </x:c>
      <x:c r="O3" s="63"/>
      <x:c r="P3" s="63"/>
      <x:c r="Q3" s="63"/>
      <x:c r="R3" s="63"/>
    </x:row>
    <x:row r="4">
      <x:c r="A4" s="33" t="str">
        <x:v>HIV_LAI_LAUNCH</x:v>
      </x:c>
      <x:c r="B4" s="33" t="str">
        <x:v>HIV_LAI_LAUNCH_ST01</x:v>
      </x:c>
      <x:c r="C4" s="33" t="str">
        <x:v>SB1</x:v>
      </x:c>
      <x:c r="D4" s="33" t="str">
        <x:v>Suboptimal adherence to daily oral ART is associated with increased risk of virologic rebound.</x:v>
      </x:c>
      <x:c r="E4" s="33" t="str">
        <x:v>Even if the evidence is positive, I still need to understand which patients fit, where this belongs in care, and how to use it in practice.</x:v>
      </x:c>
      <x:c r="F4" s="33" t="str">
        <x:v>Clinical Reasoning</x:v>
      </x:c>
      <x:c r="G4" s="33" t="str">
        <x:v>L03</x:v>
      </x:c>
      <x:c r="H4" s="33" t="str">
        <x:v>Infection control confidence</x:v>
      </x:c>
      <x:c r="I4" s="33" t="str">
        <x:v>Does this really show control? — Suboptimal adherence to daily oral ART is associated with increased risk of virologic rebound.</x:v>
      </x:c>
      <x:c r="J4" s="33" t="str">
        <x:v>EV1 | Oral_ART_Adherence_Study.pdf p6</x:v>
      </x:c>
      <x:c r="K4" s="33" t="str">
        <x:v>Participants with lower adherence had a higher risk of confirmed virologic rebound during follow-up.</x:v>
      </x:c>
      <x:c r="L4" s="33" t="str">
        <x:v>Resolve through the Infection control confidence lens using MIOS-linked evidence and translate the statement into a physician-usable answer.</x:v>
      </x:c>
      <x:c r="M4" s="33" t="str">
        <x:v>Use recurring reasoning barriers to sharpen patient-selection logic, sequencing statements, and practice-translation content in MIOS.</x:v>
      </x:c>
      <x:c r="N4" s="33" t="str">
        <x:v>Generated</x:v>
      </x:c>
      <x:c r="O4" s="63"/>
      <x:c r="P4" s="63"/>
      <x:c r="Q4" s="63"/>
      <x:c r="R4" s="63"/>
    </x:row>
    <x:row r="5">
      <x:c r="A5" s="33" t="str">
        <x:v>HIV_LAI_LAUNCH</x:v>
      </x:c>
      <x:c r="B5" s="33" t="str">
        <x:v>HIV_LAI_LAUNCH_ST01</x:v>
      </x:c>
      <x:c r="C5" s="33" t="str">
        <x:v>SB1</x:v>
      </x:c>
      <x:c r="D5" s="33" t="str">
        <x:v>Suboptimal adherence to daily oral ART is associated with increased risk of virologic rebound.</x:v>
      </x:c>
      <x:c r="E5" s="33" t="str">
        <x:v>The evidence may be directionally encouraging, but I am not yet convinced it is sufficiently credible, coherent, or practice-relevant to change behavior.</x:v>
      </x:c>
      <x:c r="F5" s="33" t="str">
        <x:v>Evidence &amp; Data Quality</x:v>
      </x:c>
      <x:c r="G5" s="33" t="str">
        <x:v>L04</x:v>
      </x:c>
      <x:c r="H5" s="33" t="str">
        <x:v>Corroboration</x:v>
      </x:c>
      <x:c r="I5" s="33" t="str">
        <x:v>What else supports this finding? — Suboptimal adherence to daily oral ART is associated with increased risk of virologic rebound.</x:v>
      </x:c>
      <x:c r="J5" s="33" t="str">
        <x:v>EV1 | Oral_ART_Adherence_Study.pdf p6</x:v>
      </x:c>
      <x:c r="K5" s="33" t="str">
        <x:v>Participants with lower adherence had a higher risk of confirmed virologic rebound during follow-up.</x:v>
      </x:c>
      <x:c r="L5" s="33" t="str">
        <x:v>Resolve through the Corroboration lens using MIOS-linked evidence and translate the statement into a physician-usable answer.</x:v>
      </x:c>
      <x:c r="M5" s="33" t="str">
        <x:v>Use resolved evidence-confidence barriers to identify where MIOS needs stronger corroboration, interpretability, or validation support.</x:v>
      </x:c>
      <x:c r="N5" s="33" t="str">
        <x:v>Generated</x:v>
      </x:c>
      <x:c r="O5" s="63"/>
      <x:c r="P5" s="63"/>
      <x:c r="Q5" s="63"/>
      <x:c r="R5" s="63"/>
    </x:row>
    <x:row r="6">
      <x:c r="A6" s="33" t="str">
        <x:v>HIV_LAI_LAUNCH</x:v>
      </x:c>
      <x:c r="B6" s="33" t="str">
        <x:v>HIV_LAI_LAUNCH_ST01</x:v>
      </x:c>
      <x:c r="C6" s="33" t="str">
        <x:v>SB1</x:v>
      </x:c>
      <x:c r="D6" s="33" t="str">
        <x:v>Suboptimal adherence to daily oral ART is associated with increased risk of virologic rebound.</x:v>
      </x:c>
      <x:c r="E6" s="33" t="str">
        <x:v>The evidence may be directionally encouraging, but I am not yet convinced it is sufficiently credible, coherent, or practice-relevant to change behavior.</x:v>
      </x:c>
      <x:c r="F6" s="33" t="str">
        <x:v>Evidence &amp; Data Quality</x:v>
      </x:c>
      <x:c r="G6" s="33" t="str">
        <x:v>L05</x:v>
      </x:c>
      <x:c r="H6" s="33" t="str">
        <x:v>Measurement reliability</x:v>
      </x:c>
      <x:c r="I6" s="33" t="str">
        <x:v>Can I rely on this measure? — Suboptimal adherence to daily oral ART is associated with increased risk of virologic rebound.</x:v>
      </x:c>
      <x:c r="J6" s="33" t="str">
        <x:v>EV1 | Oral_ART_Adherence_Study.pdf p6</x:v>
      </x:c>
      <x:c r="K6" s="33" t="str">
        <x:v>Participants with lower adherence had a higher risk of confirmed virologic rebound during follow-up.</x:v>
      </x:c>
      <x:c r="L6" s="33" t="str">
        <x:v>Resolve through the Measurement reliability lens using MIOS-linked evidence and translate the statement into a physician-usable answer.</x:v>
      </x:c>
      <x:c r="M6" s="33" t="str">
        <x:v>Use resolved evidence-confidence barriers to identify where MIOS needs stronger corroboration, interpretability, or validation support.</x:v>
      </x:c>
      <x:c r="N6" s="33" t="str">
        <x:v>Generated</x:v>
      </x:c>
      <x:c r="O6" s="63"/>
      <x:c r="P6" s="63"/>
      <x:c r="Q6" s="63"/>
      <x:c r="R6" s="63"/>
    </x:row>
    <x:row r="7">
      <x:c r="A7" s="33" t="str">
        <x:v>HIV_LAI_LAUNCH</x:v>
      </x:c>
      <x:c r="B7" s="33" t="str">
        <x:v>HIV_LAI_LAUNCH_ST01</x:v>
      </x:c>
      <x:c r="C7" s="33" t="str">
        <x:v>SB1</x:v>
      </x:c>
      <x:c r="D7" s="33" t="str">
        <x:v>Suboptimal adherence to daily oral ART is associated with increased risk of virologic rebound.</x:v>
      </x:c>
      <x:c r="E7" s="33" t="str">
        <x:v>The evidence may be directionally encouraging, but I am not yet convinced it is sufficiently credible, coherent, or practice-relevant to change behavior.</x:v>
      </x:c>
      <x:c r="F7" s="33" t="str">
        <x:v>Evidence &amp; Data Quality</x:v>
      </x:c>
      <x:c r="G7" s="33" t="str">
        <x:v>L06</x:v>
      </x:c>
      <x:c r="H7" s="33" t="str">
        <x:v>Evidence sufficiency</x:v>
      </x:c>
      <x:c r="I7" s="33" t="str">
        <x:v>Is there enough evidence yet? — Suboptimal adherence to daily oral ART is associated with increased risk of virologic rebound.</x:v>
      </x:c>
      <x:c r="J7" s="33" t="str">
        <x:v>EV1 | Oral_ART_Adherence_Study.pdf p6</x:v>
      </x:c>
      <x:c r="K7" s="33" t="str">
        <x:v>Participants with lower adherence had a higher risk of confirmed virologic rebound during follow-up.</x:v>
      </x:c>
      <x:c r="L7" s="33" t="str">
        <x:v>Resolve through the Evidence sufficiency lens using MIOS-linked evidence and translate the statement into a physician-usable answer.</x:v>
      </x:c>
      <x:c r="M7" s="33" t="str">
        <x:v>Use resolved evidence-confidence barriers to identify where MIOS needs stronger corroboration, interpretability, or validation support.</x:v>
      </x:c>
      <x:c r="N7" s="33" t="str">
        <x:v>Generated</x:v>
      </x:c>
      <x:c r="O7" s="63"/>
      <x:c r="P7" s="63"/>
      <x:c r="Q7" s="63"/>
      <x:c r="R7" s="63"/>
    </x:row>
    <x:row r="8">
      <x:c r="A8" s="33" t="str">
        <x:v>HIV_LAI_LAUNCH</x:v>
      </x:c>
      <x:c r="B8" s="33" t="str">
        <x:v>HIV_LAI_LAUNCH_ST01</x:v>
      </x:c>
      <x:c r="C8" s="33" t="str">
        <x:v>SB1</x:v>
      </x:c>
      <x:c r="D8" s="33" t="str">
        <x:v>Suboptimal adherence to daily oral ART is associated with increased risk of virologic rebound.</x:v>
      </x:c>
      <x:c r="E8" s="33" t="str">
        <x:v>The evidence may be directionally encouraging, but I am not yet convinced it is sufficiently credible, coherent, or practice-relevant to change behavior.</x:v>
      </x:c>
      <x:c r="F8" s="33" t="str">
        <x:v>Evidence &amp; Data Quality</x:v>
      </x:c>
      <x:c r="G8" s="33" t="str">
        <x:v>L07</x:v>
      </x:c>
      <x:c r="H8" s="33" t="str">
        <x:v>Evidence continuity</x:v>
      </x:c>
      <x:c r="I8" s="33" t="str">
        <x:v>What adds confidence beyond earlier data? — Suboptimal adherence to daily oral ART is associated with increased risk of virologic rebound.</x:v>
      </x:c>
      <x:c r="J8" s="33" t="str">
        <x:v>EV1 | Oral_ART_Adherence_Study.pdf p6</x:v>
      </x:c>
      <x:c r="K8" s="33" t="str">
        <x:v>Participants with lower adherence had a higher risk of confirmed virologic rebound during follow-up.</x:v>
      </x:c>
      <x:c r="L8" s="33" t="str">
        <x:v>Resolve through the Evidence continuity lens using MIOS-linked evidence and translate the statement into a physician-usable answer.</x:v>
      </x:c>
      <x:c r="M8" s="33" t="str">
        <x:v>Use resolved evidence-confidence barriers to identify where MIOS needs stronger corroboration, interpretability, or validation support.</x:v>
      </x:c>
      <x:c r="N8" s="33" t="str">
        <x:v>Generated</x:v>
      </x:c>
      <x:c r="O8" s="63"/>
      <x:c r="P8" s="63"/>
      <x:c r="Q8" s="63"/>
      <x:c r="R8" s="63"/>
    </x:row>
    <x:row r="9">
      <x:c r="A9" s="33" t="str">
        <x:v>HIV_LAI_LAUNCH</x:v>
      </x:c>
      <x:c r="B9" s="33" t="str">
        <x:v>HIV_LAI_LAUNCH_ST01</x:v>
      </x:c>
      <x:c r="C9" s="33" t="str">
        <x:v>SB1</x:v>
      </x:c>
      <x:c r="D9" s="33" t="str">
        <x:v>Suboptimal adherence to daily oral ART is associated with increased risk of virologic rebound.</x:v>
      </x:c>
      <x:c r="E9" s="33" t="str">
        <x:v>The evidence may be directionally encouraging, but I am not yet convinced it is sufficiently credible, coherent, or practice-relevant to change behavior.</x:v>
      </x:c>
      <x:c r="F9" s="33" t="str">
        <x:v>Evidence &amp; Data Quality</x:v>
      </x:c>
      <x:c r="G9" s="33" t="str">
        <x:v>L08</x:v>
      </x:c>
      <x:c r="H9" s="33" t="str">
        <x:v>Design robustness</x:v>
      </x:c>
      <x:c r="I9" s="33" t="str">
        <x:v>How robust was the design? — Suboptimal adherence to daily oral ART is associated with increased risk of virologic rebound.</x:v>
      </x:c>
      <x:c r="J9" s="33" t="str">
        <x:v>EV1 | Oral_ART_Adherence_Study.pdf p6</x:v>
      </x:c>
      <x:c r="K9" s="33" t="str">
        <x:v>Participants with lower adherence had a higher risk of confirmed virologic rebound during follow-up.</x:v>
      </x:c>
      <x:c r="L9" s="33" t="str">
        <x:v>Resolve through the Design robustness lens using MIOS-linked evidence and translate the statement into a physician-usable answer.</x:v>
      </x:c>
      <x:c r="M9" s="33" t="str">
        <x:v>Use resolved evidence-confidence barriers to identify where MIOS needs stronger corroboration, interpretability, or validation support.</x:v>
      </x:c>
      <x:c r="N9" s="33" t="str">
        <x:v>Generated</x:v>
      </x:c>
      <x:c r="O9" s="63"/>
      <x:c r="P9" s="63"/>
      <x:c r="Q9" s="63"/>
      <x:c r="R9" s="63"/>
    </x:row>
    <x:row r="10">
      <x:c r="A10" s="33" t="str">
        <x:v>HIV_LAI_LAUNCH</x:v>
      </x:c>
      <x:c r="B10" s="33" t="str">
        <x:v>HIV_LAI_LAUNCH_ST01</x:v>
      </x:c>
      <x:c r="C10" s="33" t="str">
        <x:v>SB1</x:v>
      </x:c>
      <x:c r="D10" s="33" t="str">
        <x:v>Suboptimal adherence to daily oral ART is associated with increased risk of virologic rebound.</x:v>
      </x:c>
      <x:c r="E10" s="33" t="str">
        <x:v>Even if the evidence is positive, I still need to understand which patients fit, where this belongs in care, and how to use it in practice.</x:v>
      </x:c>
      <x:c r="F10" s="33" t="str">
        <x:v>Clinical Reasoning</x:v>
      </x:c>
      <x:c r="G10" s="33" t="str">
        <x:v>L09</x:v>
      </x:c>
      <x:c r="H10" s="33" t="str">
        <x:v>Design interpretability</x:v>
      </x:c>
      <x:c r="I10" s="33" t="str">
        <x:v>How do I read these results clinically? — Suboptimal adherence to daily oral ART is associated with increased risk of virologic rebound.</x:v>
      </x:c>
      <x:c r="J10" s="33" t="str">
        <x:v>EV1 | Oral_ART_Adherence_Study.pdf p6</x:v>
      </x:c>
      <x:c r="K10" s="33" t="str">
        <x:v>Participants with lower adherence had a higher risk of confirmed virologic rebound during follow-up.</x:v>
      </x:c>
      <x:c r="L10" s="33" t="str">
        <x:v>Resolve through the Design interpretability lens using MIOS-linked evidence and translate the statement into a physician-usable answer.</x:v>
      </x:c>
      <x:c r="M10" s="33" t="str">
        <x:v>Use recurring reasoning barriers to sharpen patient-selection logic, sequencing statements, and practice-translation content in MIOS.</x:v>
      </x:c>
      <x:c r="N10" s="33" t="str">
        <x:v>Generated</x:v>
      </x:c>
      <x:c r="O10" s="63"/>
      <x:c r="P10" s="63"/>
      <x:c r="Q10" s="63"/>
      <x:c r="R10" s="63"/>
    </x:row>
    <x:row r="11">
      <x:c r="A11" s="33" t="str">
        <x:v>HIV_LAI_LAUNCH</x:v>
      </x:c>
      <x:c r="B11" s="33" t="str">
        <x:v>HIV_LAI_LAUNCH_ST01</x:v>
      </x:c>
      <x:c r="C11" s="33" t="str">
        <x:v>SB1</x:v>
      </x:c>
      <x:c r="D11" s="33" t="str">
        <x:v>Suboptimal adherence to daily oral ART is associated with increased risk of virologic rebound.</x:v>
      </x:c>
      <x:c r="E11" s="33" t="str">
        <x:v>Even if the evidence is positive, I still need to understand which patients fit, where this belongs in care, and how to use it in practice.</x:v>
      </x:c>
      <x:c r="F11" s="33" t="str">
        <x:v>Clinical Reasoning</x:v>
      </x:c>
      <x:c r="G11" s="33" t="str">
        <x:v>L10</x:v>
      </x:c>
      <x:c r="H11" s="33" t="str">
        <x:v>Generalizability</x:v>
      </x:c>
      <x:c r="I11" s="33" t="str">
        <x:v>Will this apply to my patients? — Suboptimal adherence to daily oral ART is associated with increased risk of virologic rebound.</x:v>
      </x:c>
      <x:c r="J11" s="33" t="str">
        <x:v>EV1 | Oral_ART_Adherence_Study.pdf p6</x:v>
      </x:c>
      <x:c r="K11" s="33" t="str">
        <x:v>Participants with lower adherence had a higher risk of confirmed virologic rebound during follow-up.</x:v>
      </x:c>
      <x:c r="L11" s="33" t="str">
        <x:v>Resolve through the Generalizability lens using MIOS-linked evidence and translate the statement into a physician-usable answer.</x:v>
      </x:c>
      <x:c r="M11" s="33" t="str">
        <x:v>Use recurring reasoning barriers to sharpen patient-selection logic, sequencing statements, and practice-translation content in MIOS.</x:v>
      </x:c>
      <x:c r="N11" s="33" t="str">
        <x:v>Generated</x:v>
      </x:c>
      <x:c r="O11" s="63"/>
      <x:c r="P11" s="63"/>
      <x:c r="Q11" s="63"/>
      <x:c r="R11" s="63"/>
    </x:row>
    <x:row r="12">
      <x:c r="A12" s="33" t="str">
        <x:v>HIV_LAI_LAUNCH</x:v>
      </x:c>
      <x:c r="B12" s="33" t="str">
        <x:v>HIV_LAI_LAUNCH_ST01</x:v>
      </x:c>
      <x:c r="C12" s="33" t="str">
        <x:v>SB1</x:v>
      </x:c>
      <x:c r="D12" s="33" t="str">
        <x:v>Suboptimal adherence to daily oral ART is associated with increased risk of virologic rebound.</x:v>
      </x:c>
      <x:c r="E12" s="33" t="str">
        <x:v>Even if the evidence is positive, I still need to understand which patients fit, where this belongs in care, and how to use it in practice.</x:v>
      </x:c>
      <x:c r="F12" s="33" t="str">
        <x:v>Clinical Reasoning</x:v>
      </x:c>
      <x:c r="G12" s="33" t="str">
        <x:v>L11</x:v>
      </x:c>
      <x:c r="H12" s="33" t="str">
        <x:v>Patient selection logic</x:v>
      </x:c>
      <x:c r="I12" s="33" t="str">
        <x:v>Who is the right patient? — Suboptimal adherence to daily oral ART is associated with increased risk of virologic rebound.</x:v>
      </x:c>
      <x:c r="J12" s="33" t="str">
        <x:v>EV1 | Oral_ART_Adherence_Study.pdf p6</x:v>
      </x:c>
      <x:c r="K12" s="33" t="str">
        <x:v>Participants with lower adherence had a higher risk of confirmed virologic rebound during follow-up.</x:v>
      </x:c>
      <x:c r="L12" s="33" t="str">
        <x:v>Resolve through the Patient selection logic lens using MIOS-linked evidence and translate the statement into a physician-usable answer.</x:v>
      </x:c>
      <x:c r="M12" s="33" t="str">
        <x:v>Use recurring reasoning barriers to sharpen patient-selection logic, sequencing statements, and practice-translation content in MIOS.</x:v>
      </x:c>
      <x:c r="N12" s="33" t="str">
        <x:v>Generated</x:v>
      </x:c>
      <x:c r="O12" s="63"/>
      <x:c r="P12" s="63"/>
      <x:c r="Q12" s="63"/>
      <x:c r="R12" s="63"/>
    </x:row>
    <x:row r="13">
      <x:c r="A13" s="33" t="str">
        <x:v>HIV_LAI_LAUNCH</x:v>
      </x:c>
      <x:c r="B13" s="33" t="str">
        <x:v>HIV_LAI_LAUNCH_ST01</x:v>
      </x:c>
      <x:c r="C13" s="33" t="str">
        <x:v>SB1</x:v>
      </x:c>
      <x:c r="D13" s="33" t="str">
        <x:v>Suboptimal adherence to daily oral ART is associated with increased risk of virologic rebound.</x:v>
      </x:c>
      <x:c r="E13" s="33" t="str">
        <x:v>Even if the evidence is positive, I still need to understand which patients fit, where this belongs in care, and how to use it in practice.</x:v>
      </x:c>
      <x:c r="F13" s="33" t="str">
        <x:v>Clinical Reasoning</x:v>
      </x:c>
      <x:c r="G13" s="33" t="str">
        <x:v>L12</x:v>
      </x:c>
      <x:c r="H13" s="33" t="str">
        <x:v>Sequencing logic</x:v>
      </x:c>
      <x:c r="I13" s="33" t="str">
        <x:v>When should I use this? — Suboptimal adherence to daily oral ART is associated with increased risk of virologic rebound.</x:v>
      </x:c>
      <x:c r="J13" s="33" t="str">
        <x:v>EV1 | Oral_ART_Adherence_Study.pdf p6</x:v>
      </x:c>
      <x:c r="K13" s="33" t="str">
        <x:v>Participants with lower adherence had a higher risk of confirmed virologic rebound during follow-up.</x:v>
      </x:c>
      <x:c r="L13" s="33" t="str">
        <x:v>Resolve through the Sequencing logic lens using MIOS-linked evidence and translate the statement into a physician-usable answer.</x:v>
      </x:c>
      <x:c r="M13" s="33" t="str">
        <x:v>Use recurring reasoning barriers to sharpen patient-selection logic, sequencing statements, and practice-translation content in MIOS.</x:v>
      </x:c>
      <x:c r="N13" s="33" t="str">
        <x:v>Generated</x:v>
      </x:c>
      <x:c r="O13" s="63"/>
      <x:c r="P13" s="63"/>
      <x:c r="Q13" s="63"/>
      <x:c r="R13" s="63"/>
    </x:row>
    <x:row r="14">
      <x:c r="A14" s="33" t="str">
        <x:v>HIV_LAI_LAUNCH</x:v>
      </x:c>
      <x:c r="B14" s="33" t="str">
        <x:v>HIV_LAI_LAUNCH_ST01</x:v>
      </x:c>
      <x:c r="C14" s="33" t="str">
        <x:v>SB1</x:v>
      </x:c>
      <x:c r="D14" s="33" t="str">
        <x:v>Suboptimal adherence to daily oral ART is associated with increased risk of virologic rebound.</x:v>
      </x:c>
      <x:c r="E14" s="33" t="str">
        <x:v>Even if the evidence is positive, I still need to understand which patients fit, where this belongs in care, and how to use it in practice.</x:v>
      </x:c>
      <x:c r="F14" s="33" t="str">
        <x:v>Clinical Reasoning</x:v>
      </x:c>
      <x:c r="G14" s="33" t="str">
        <x:v>L13</x:v>
      </x:c>
      <x:c r="H14" s="33" t="str">
        <x:v>Magnitude relevance</x:v>
      </x:c>
      <x:c r="I14" s="33" t="str">
        <x:v>Is this benefit meaningful enough? — Suboptimal adherence to daily oral ART is associated with increased risk of virologic rebound.</x:v>
      </x:c>
      <x:c r="J14" s="33" t="str">
        <x:v>EV1 | Oral_ART_Adherence_Study.pdf p6</x:v>
      </x:c>
      <x:c r="K14" s="33" t="str">
        <x:v>Participants with lower adherence had a higher risk of confirmed virologic rebound during follow-up.</x:v>
      </x:c>
      <x:c r="L14" s="33" t="str">
        <x:v>Resolve through the Magnitude relevance lens using MIOS-linked evidence and translate the statement into a physician-usable answer.</x:v>
      </x:c>
      <x:c r="M14" s="33" t="str">
        <x:v>Use recurring reasoning barriers to sharpen patient-selection logic, sequencing statements, and practice-translation content in MIOS.</x:v>
      </x:c>
      <x:c r="N14" s="33" t="str">
        <x:v>Generated</x:v>
      </x:c>
      <x:c r="O14" s="63"/>
      <x:c r="P14" s="63"/>
      <x:c r="Q14" s="63"/>
      <x:c r="R14" s="63"/>
    </x:row>
    <x:row r="15">
      <x:c r="A15" s="33" t="str">
        <x:v>HIV_LAI_LAUNCH</x:v>
      </x:c>
      <x:c r="B15" s="33" t="str">
        <x:v>HIV_LAI_LAUNCH_ST01</x:v>
      </x:c>
      <x:c r="C15" s="33" t="str">
        <x:v>SB1</x:v>
      </x:c>
      <x:c r="D15" s="33" t="str">
        <x:v>Suboptimal adherence to daily oral ART is associated with increased risk of virologic rebound.</x:v>
      </x:c>
      <x:c r="E15" s="33" t="str">
        <x:v>Even if the evidence is positive, I still need to understand which patients fit, where this belongs in care, and how to use it in practice.</x:v>
      </x:c>
      <x:c r="F15" s="33" t="str">
        <x:v>Clinical Reasoning</x:v>
      </x:c>
      <x:c r="G15" s="33" t="str">
        <x:v>L14</x:v>
      </x:c>
      <x:c r="H15" s="33" t="str">
        <x:v>Practice integration</x:v>
      </x:c>
      <x:c r="I15" s="33" t="str">
        <x:v>Can I actually use this in practice? — Suboptimal adherence to daily oral ART is associated with increased risk of virologic rebound.</x:v>
      </x:c>
      <x:c r="J15" s="33" t="str">
        <x:v>EV1 | Oral_ART_Adherence_Study.pdf p6</x:v>
      </x:c>
      <x:c r="K15" s="33" t="str">
        <x:v>Participants with lower adherence had a higher risk of confirmed virologic rebound during follow-up.</x:v>
      </x:c>
      <x:c r="L15" s="33" t="str">
        <x:v>Resolve through the Practice integration lens using MIOS-linked evidence and translate the statement into a physician-usable answer.</x:v>
      </x:c>
      <x:c r="M15" s="33" t="str">
        <x:v>Use recurring reasoning barriers to sharpen patient-selection logic, sequencing statements, and practice-translation content in MIOS.</x:v>
      </x:c>
      <x:c r="N15" s="33" t="str">
        <x:v>Generated</x:v>
      </x:c>
      <x:c r="O15" s="63"/>
      <x:c r="P15" s="63"/>
      <x:c r="Q15" s="63"/>
      <x:c r="R15" s="63"/>
    </x:row>
    <x:row r="16">
      <x:c r="A16" s="33" t="str">
        <x:v>HIV_LAI_LAUNCH</x:v>
      </x:c>
      <x:c r="B16" s="33" t="str">
        <x:v>HIV_LAI_LAUNCH_ST02</x:v>
      </x:c>
      <x:c r="C16" s="33" t="str">
        <x:v>SB2</x:v>
      </x:c>
      <x:c r="D16" s="33" t="str">
        <x:v>Long-acting injectable ART can support durable viral suppression in appropriately selected patients.</x:v>
      </x:c>
      <x:c r="E16" s="33" t="str">
        <x:v>The evidence may be directionally encouraging, but I am not yet convinced it is sufficiently credible, coherent, or practice-relevant to change behavior.</x:v>
      </x:c>
      <x:c r="F16" s="33" t="str">
        <x:v>Evidence &amp; Data Quality</x:v>
      </x:c>
      <x:c r="G16" s="33" t="str">
        <x:v>L01</x:v>
      </x:c>
      <x:c r="H16" s="33" t="str">
        <x:v>Evidence credibility</x:v>
      </x:c>
      <x:c r="I16" s="33" t="str">
        <x:v>Why should I trust these data? — Long-acting injectable ART can support durable viral suppression in appropriately selected patients.</x:v>
      </x:c>
      <x:c r="J16" s="33" t="str">
        <x:v>EV3 | LAI_Suppression_Trial.pdf p8</x:v>
      </x:c>
      <x:c r="K16" s="33" t="str">
        <x:v>Long-acting therapy maintained viral suppression in the majority of eligible participants through week 48.</x:v>
      </x:c>
      <x:c r="L16" s="33" t="str">
        <x:v>Resolve through the Evidence credibility lens using MIOS-linked evidence and translate the statement into a physician-usable answer.</x:v>
      </x:c>
      <x:c r="M16" s="33" t="str">
        <x:v>Use resolved evidence-confidence barriers to identify where MIOS needs stronger corroboration, interpretability, or validation support.</x:v>
      </x:c>
      <x:c r="N16" s="33" t="str">
        <x:v>Generated</x:v>
      </x:c>
      <x:c r="O16" s="63"/>
      <x:c r="P16" s="63"/>
      <x:c r="Q16" s="63"/>
      <x:c r="R16" s="63"/>
    </x:row>
    <x:row r="17">
      <x:c r="A17" s="33" t="str">
        <x:v>HIV_LAI_LAUNCH</x:v>
      </x:c>
      <x:c r="B17" s="33" t="str">
        <x:v>HIV_LAI_LAUNCH_ST02</x:v>
      </x:c>
      <x:c r="C17" s="33" t="str">
        <x:v>SB2</x:v>
      </x:c>
      <x:c r="D17" s="33" t="str">
        <x:v>Long-acting injectable ART can support durable viral suppression in appropriately selected patients.</x:v>
      </x:c>
      <x:c r="E17" s="33" t="str">
        <x:v>The evidence may be directionally encouraging, but I am not yet convinced it is sufficiently credible, coherent, or practice-relevant to change behavior.</x:v>
      </x:c>
      <x:c r="F17" s="33" t="str">
        <x:v>Evidence &amp; Data Quality</x:v>
      </x:c>
      <x:c r="G17" s="33" t="str">
        <x:v>L02</x:v>
      </x:c>
      <x:c r="H17" s="33" t="str">
        <x:v>Signal integration</x:v>
      </x:c>
      <x:c r="I17" s="33" t="str">
        <x:v>How do these signals fit together? — Long-acting injectable ART can support durable viral suppression in appropriately selected patients.</x:v>
      </x:c>
      <x:c r="J17" s="33" t="str">
        <x:v>EV3 | LAI_Suppression_Trial.pdf p8</x:v>
      </x:c>
      <x:c r="K17" s="33" t="str">
        <x:v>Long-acting therapy maintained viral suppression in the majority of eligible participants through week 48.</x:v>
      </x:c>
      <x:c r="L17" s="33" t="str">
        <x:v>Resolve through the Signal integration lens using MIOS-linked evidence and translate the statement into a physician-usable answer.</x:v>
      </x:c>
      <x:c r="M17" s="33" t="str">
        <x:v>Use resolved evidence-confidence barriers to identify where MIOS needs stronger corroboration, interpretability, or validation support.</x:v>
      </x:c>
      <x:c r="N17" s="33" t="str">
        <x:v>Generated</x:v>
      </x:c>
      <x:c r="O17" s="63"/>
      <x:c r="P17" s="63"/>
      <x:c r="Q17" s="63"/>
      <x:c r="R17" s="63"/>
    </x:row>
    <x:row r="18">
      <x:c r="A18" s="33" t="str">
        <x:v>HIV_LAI_LAUNCH</x:v>
      </x:c>
      <x:c r="B18" s="33" t="str">
        <x:v>HIV_LAI_LAUNCH_ST02</x:v>
      </x:c>
      <x:c r="C18" s="33" t="str">
        <x:v>SB2</x:v>
      </x:c>
      <x:c r="D18" s="33" t="str">
        <x:v>Long-acting injectable ART can support durable viral suppression in appropriately selected patients.</x:v>
      </x:c>
      <x:c r="E18" s="33" t="str">
        <x:v>Even if the evidence is positive, I still need to understand which patients fit, where this belongs in care, and how to use it in practice.</x:v>
      </x:c>
      <x:c r="F18" s="33" t="str">
        <x:v>Clinical Reasoning</x:v>
      </x:c>
      <x:c r="G18" s="33" t="str">
        <x:v>L03</x:v>
      </x:c>
      <x:c r="H18" s="33" t="str">
        <x:v>Infection control confidence</x:v>
      </x:c>
      <x:c r="I18" s="33" t="str">
        <x:v>Does this really show control? — Long-acting injectable ART can support durable viral suppression in appropriately selected patients.</x:v>
      </x:c>
      <x:c r="J18" s="33" t="str">
        <x:v>EV3 | LAI_Suppression_Trial.pdf p8</x:v>
      </x:c>
      <x:c r="K18" s="33" t="str">
        <x:v>Long-acting therapy maintained viral suppression in the majority of eligible participants through week 48.</x:v>
      </x:c>
      <x:c r="L18" s="33" t="str">
        <x:v>Resolve through the Infection control confidence lens using MIOS-linked evidence and translate the statement into a physician-usable answer.</x:v>
      </x:c>
      <x:c r="M18" s="33" t="str">
        <x:v>Use recurring reasoning barriers to sharpen patient-selection logic, sequencing statements, and practice-translation content in MIOS.</x:v>
      </x:c>
      <x:c r="N18" s="33" t="str">
        <x:v>Generated</x:v>
      </x:c>
      <x:c r="O18" s="63"/>
      <x:c r="P18" s="63"/>
      <x:c r="Q18" s="63"/>
      <x:c r="R18" s="63"/>
    </x:row>
    <x:row r="19">
      <x:c r="A19" s="33" t="str">
        <x:v>HIV_LAI_LAUNCH</x:v>
      </x:c>
      <x:c r="B19" s="33" t="str">
        <x:v>HIV_LAI_LAUNCH_ST02</x:v>
      </x:c>
      <x:c r="C19" s="33" t="str">
        <x:v>SB2</x:v>
      </x:c>
      <x:c r="D19" s="33" t="str">
        <x:v>Long-acting injectable ART can support durable viral suppression in appropriately selected patients.</x:v>
      </x:c>
      <x:c r="E19" s="33" t="str">
        <x:v>The evidence may be directionally encouraging, but I am not yet convinced it is sufficiently credible, coherent, or practice-relevant to change behavior.</x:v>
      </x:c>
      <x:c r="F19" s="33" t="str">
        <x:v>Evidence &amp; Data Quality</x:v>
      </x:c>
      <x:c r="G19" s="33" t="str">
        <x:v>L04</x:v>
      </x:c>
      <x:c r="H19" s="33" t="str">
        <x:v>Corroboration</x:v>
      </x:c>
      <x:c r="I19" s="33" t="str">
        <x:v>What else supports this finding? — Long-acting injectable ART can support durable viral suppression in appropriately selected patients.</x:v>
      </x:c>
      <x:c r="J19" s="33" t="str">
        <x:v>EV3 | LAI_Suppression_Trial.pdf p8</x:v>
      </x:c>
      <x:c r="K19" s="33" t="str">
        <x:v>Long-acting therapy maintained viral suppression in the majority of eligible participants through week 48.</x:v>
      </x:c>
      <x:c r="L19" s="33" t="str">
        <x:v>Resolve through the Corroboration lens using MIOS-linked evidence and translate the statement into a physician-usable answer.</x:v>
      </x:c>
      <x:c r="M19" s="33" t="str">
        <x:v>Use resolved evidence-confidence barriers to identify where MIOS needs stronger corroboration, interpretability, or validation support.</x:v>
      </x:c>
      <x:c r="N19" s="33" t="str">
        <x:v>Generated</x:v>
      </x:c>
      <x:c r="O19" s="63"/>
      <x:c r="P19" s="63"/>
      <x:c r="Q19" s="63"/>
      <x:c r="R19" s="63"/>
    </x:row>
    <x:row r="20">
      <x:c r="A20" s="33" t="str">
        <x:v>HIV_LAI_LAUNCH</x:v>
      </x:c>
      <x:c r="B20" s="33" t="str">
        <x:v>HIV_LAI_LAUNCH_ST02</x:v>
      </x:c>
      <x:c r="C20" s="33" t="str">
        <x:v>SB2</x:v>
      </x:c>
      <x:c r="D20" s="33" t="str">
        <x:v>Long-acting injectable ART can support durable viral suppression in appropriately selected patients.</x:v>
      </x:c>
      <x:c r="E20" s="33" t="str">
        <x:v>The evidence may be directionally encouraging, but I am not yet convinced it is sufficiently credible, coherent, or practice-relevant to change behavior.</x:v>
      </x:c>
      <x:c r="F20" s="33" t="str">
        <x:v>Evidence &amp; Data Quality</x:v>
      </x:c>
      <x:c r="G20" s="33" t="str">
        <x:v>L05</x:v>
      </x:c>
      <x:c r="H20" s="33" t="str">
        <x:v>Measurement reliability</x:v>
      </x:c>
      <x:c r="I20" s="33" t="str">
        <x:v>Can I rely on this measure? — Long-acting injectable ART can support durable viral suppression in appropriately selected patients.</x:v>
      </x:c>
      <x:c r="J20" s="33" t="str">
        <x:v>EV3 | LAI_Suppression_Trial.pdf p8</x:v>
      </x:c>
      <x:c r="K20" s="33" t="str">
        <x:v>Long-acting therapy maintained viral suppression in the majority of eligible participants through week 48.</x:v>
      </x:c>
      <x:c r="L20" s="33" t="str">
        <x:v>Resolve through the Measurement reliability lens using MIOS-linked evidence and translate the statement into a physician-usable answer.</x:v>
      </x:c>
      <x:c r="M20" s="33" t="str">
        <x:v>Use resolved evidence-confidence barriers to identify where MIOS needs stronger corroboration, interpretability, or validation support.</x:v>
      </x:c>
      <x:c r="N20" s="33" t="str">
        <x:v>Generated</x:v>
      </x:c>
      <x:c r="O20" s="63"/>
      <x:c r="P20" s="63"/>
      <x:c r="Q20" s="63"/>
      <x:c r="R20" s="63"/>
    </x:row>
    <x:row r="21">
      <x:c r="A21" s="33" t="str">
        <x:v>HIV_LAI_LAUNCH</x:v>
      </x:c>
      <x:c r="B21" s="33" t="str">
        <x:v>HIV_LAI_LAUNCH_ST02</x:v>
      </x:c>
      <x:c r="C21" s="33" t="str">
        <x:v>SB2</x:v>
      </x:c>
      <x:c r="D21" s="33" t="str">
        <x:v>Long-acting injectable ART can support durable viral suppression in appropriately selected patients.</x:v>
      </x:c>
      <x:c r="E21" s="33" t="str">
        <x:v>The evidence may be directionally encouraging, but I am not yet convinced it is sufficiently credible, coherent, or practice-relevant to change behavior.</x:v>
      </x:c>
      <x:c r="F21" s="33" t="str">
        <x:v>Evidence &amp; Data Quality</x:v>
      </x:c>
      <x:c r="G21" s="33" t="str">
        <x:v>L06</x:v>
      </x:c>
      <x:c r="H21" s="33" t="str">
        <x:v>Evidence sufficiency</x:v>
      </x:c>
      <x:c r="I21" s="33" t="str">
        <x:v>Is there enough evidence yet? — Long-acting injectable ART can support durable viral suppression in appropriately selected patients.</x:v>
      </x:c>
      <x:c r="J21" s="33" t="str">
        <x:v>EV3 | LAI_Suppression_Trial.pdf p8</x:v>
      </x:c>
      <x:c r="K21" s="33" t="str">
        <x:v>Long-acting therapy maintained viral suppression in the majority of eligible participants through week 48.</x:v>
      </x:c>
      <x:c r="L21" s="33" t="str">
        <x:v>Resolve through the Evidence sufficiency lens using MIOS-linked evidence and translate the statement into a physician-usable answer.</x:v>
      </x:c>
      <x:c r="M21" s="33" t="str">
        <x:v>Use resolved evidence-confidence barriers to identify where MIOS needs stronger corroboration, interpretability, or validation support.</x:v>
      </x:c>
      <x:c r="N21" s="33" t="str">
        <x:v>Generated</x:v>
      </x:c>
      <x:c r="O21" s="63"/>
      <x:c r="P21" s="63"/>
      <x:c r="Q21" s="63"/>
      <x:c r="R21" s="63"/>
    </x:row>
    <x:row r="22">
      <x:c r="A22" s="33" t="str">
        <x:v>HIV_LAI_LAUNCH</x:v>
      </x:c>
      <x:c r="B22" s="33" t="str">
        <x:v>HIV_LAI_LAUNCH_ST02</x:v>
      </x:c>
      <x:c r="C22" s="33" t="str">
        <x:v>SB2</x:v>
      </x:c>
      <x:c r="D22" s="33" t="str">
        <x:v>Long-acting injectable ART can support durable viral suppression in appropriately selected patients.</x:v>
      </x:c>
      <x:c r="E22" s="33" t="str">
        <x:v>The evidence may be directionally encouraging, but I am not yet convinced it is sufficiently credible, coherent, or practice-relevant to change behavior.</x:v>
      </x:c>
      <x:c r="F22" s="33" t="str">
        <x:v>Evidence &amp; Data Quality</x:v>
      </x:c>
      <x:c r="G22" s="33" t="str">
        <x:v>L07</x:v>
      </x:c>
      <x:c r="H22" s="33" t="str">
        <x:v>Evidence continuity</x:v>
      </x:c>
      <x:c r="I22" s="33" t="str">
        <x:v>What adds confidence beyond earlier data? — Long-acting injectable ART can support durable viral suppression in appropriately selected patients.</x:v>
      </x:c>
      <x:c r="J22" s="33" t="str">
        <x:v>EV3 | LAI_Suppression_Trial.pdf p8</x:v>
      </x:c>
      <x:c r="K22" s="33" t="str">
        <x:v>Long-acting therapy maintained viral suppression in the majority of eligible participants through week 48.</x:v>
      </x:c>
      <x:c r="L22" s="33" t="str">
        <x:v>Resolve through the Evidence continuity lens using MIOS-linked evidence and translate the statement into a physician-usable answer.</x:v>
      </x:c>
      <x:c r="M22" s="33" t="str">
        <x:v>Use resolved evidence-confidence barriers to identify where MIOS needs stronger corroboration, interpretability, or validation support.</x:v>
      </x:c>
      <x:c r="N22" s="33" t="str">
        <x:v>Generated</x:v>
      </x:c>
      <x:c r="O22" s="63"/>
      <x:c r="P22" s="63"/>
      <x:c r="Q22" s="63"/>
      <x:c r="R22" s="63"/>
    </x:row>
    <x:row r="23">
      <x:c r="A23" s="33" t="str">
        <x:v>HIV_LAI_LAUNCH</x:v>
      </x:c>
      <x:c r="B23" s="33" t="str">
        <x:v>HIV_LAI_LAUNCH_ST02</x:v>
      </x:c>
      <x:c r="C23" s="33" t="str">
        <x:v>SB2</x:v>
      </x:c>
      <x:c r="D23" s="33" t="str">
        <x:v>Long-acting injectable ART can support durable viral suppression in appropriately selected patients.</x:v>
      </x:c>
      <x:c r="E23" s="33" t="str">
        <x:v>The evidence may be directionally encouraging, but I am not yet convinced it is sufficiently credible, coherent, or practice-relevant to change behavior.</x:v>
      </x:c>
      <x:c r="F23" s="33" t="str">
        <x:v>Evidence &amp; Data Quality</x:v>
      </x:c>
      <x:c r="G23" s="33" t="str">
        <x:v>L08</x:v>
      </x:c>
      <x:c r="H23" s="33" t="str">
        <x:v>Design robustness</x:v>
      </x:c>
      <x:c r="I23" s="33" t="str">
        <x:v>How robust was the design? — Long-acting injectable ART can support durable viral suppression in appropriately selected patients.</x:v>
      </x:c>
      <x:c r="J23" s="33" t="str">
        <x:v>EV3 | LAI_Suppression_Trial.pdf p8</x:v>
      </x:c>
      <x:c r="K23" s="33" t="str">
        <x:v>Long-acting therapy maintained viral suppression in the majority of eligible participants through week 48.</x:v>
      </x:c>
      <x:c r="L23" s="33" t="str">
        <x:v>Resolve through the Design robustness lens using MIOS-linked evidence and translate the statement into a physician-usable answer.</x:v>
      </x:c>
      <x:c r="M23" s="33" t="str">
        <x:v>Use resolved evidence-confidence barriers to identify where MIOS needs stronger corroboration, interpretability, or validation support.</x:v>
      </x:c>
      <x:c r="N23" s="33" t="str">
        <x:v>Generated</x:v>
      </x:c>
      <x:c r="O23" s="63"/>
      <x:c r="P23" s="63"/>
      <x:c r="Q23" s="63"/>
      <x:c r="R23" s="63"/>
    </x:row>
    <x:row r="24">
      <x:c r="A24" s="33" t="str">
        <x:v>HIV_LAI_LAUNCH</x:v>
      </x:c>
      <x:c r="B24" s="33" t="str">
        <x:v>HIV_LAI_LAUNCH_ST02</x:v>
      </x:c>
      <x:c r="C24" s="33" t="str">
        <x:v>SB2</x:v>
      </x:c>
      <x:c r="D24" s="33" t="str">
        <x:v>Long-acting injectable ART can support durable viral suppression in appropriately selected patients.</x:v>
      </x:c>
      <x:c r="E24" s="33" t="str">
        <x:v>Even if the evidence is positive, I still need to understand which patients fit, where this belongs in care, and how to use it in practice.</x:v>
      </x:c>
      <x:c r="F24" s="33" t="str">
        <x:v>Clinical Reasoning</x:v>
      </x:c>
      <x:c r="G24" s="33" t="str">
        <x:v>L09</x:v>
      </x:c>
      <x:c r="H24" s="33" t="str">
        <x:v>Design interpretability</x:v>
      </x:c>
      <x:c r="I24" s="33" t="str">
        <x:v>How do I read these results clinically? — Long-acting injectable ART can support durable viral suppression in appropriately selected patients.</x:v>
      </x:c>
      <x:c r="J24" s="33" t="str">
        <x:v>EV3 | LAI_Suppression_Trial.pdf p8</x:v>
      </x:c>
      <x:c r="K24" s="33" t="str">
        <x:v>Long-acting therapy maintained viral suppression in the majority of eligible participants through week 48.</x:v>
      </x:c>
      <x:c r="L24" s="33" t="str">
        <x:v>Resolve through the Design interpretability lens using MIOS-linked evidence and translate the statement into a physician-usable answer.</x:v>
      </x:c>
      <x:c r="M24" s="33" t="str">
        <x:v>Use recurring reasoning barriers to sharpen patient-selection logic, sequencing statements, and practice-translation content in MIOS.</x:v>
      </x:c>
      <x:c r="N24" s="33" t="str">
        <x:v>Generated</x:v>
      </x:c>
      <x:c r="O24" s="63"/>
      <x:c r="P24" s="63"/>
      <x:c r="Q24" s="63"/>
      <x:c r="R24" s="63"/>
    </x:row>
    <x:row r="25">
      <x:c r="A25" s="33" t="str">
        <x:v>HIV_LAI_LAUNCH</x:v>
      </x:c>
      <x:c r="B25" s="33" t="str">
        <x:v>HIV_LAI_LAUNCH_ST02</x:v>
      </x:c>
      <x:c r="C25" s="33" t="str">
        <x:v>SB2</x:v>
      </x:c>
      <x:c r="D25" s="33" t="str">
        <x:v>Long-acting injectable ART can support durable viral suppression in appropriately selected patients.</x:v>
      </x:c>
      <x:c r="E25" s="33" t="str">
        <x:v>Even if the evidence is positive, I still need to understand which patients fit, where this belongs in care, and how to use it in practice.</x:v>
      </x:c>
      <x:c r="F25" s="33" t="str">
        <x:v>Clinical Reasoning</x:v>
      </x:c>
      <x:c r="G25" s="33" t="str">
        <x:v>L10</x:v>
      </x:c>
      <x:c r="H25" s="33" t="str">
        <x:v>Generalizability</x:v>
      </x:c>
      <x:c r="I25" s="33" t="str">
        <x:v>Will this apply to my patients? — Long-acting injectable ART can support durable viral suppression in appropriately selected patients.</x:v>
      </x:c>
      <x:c r="J25" s="33" t="str">
        <x:v>EV3 | LAI_Suppression_Trial.pdf p8</x:v>
      </x:c>
      <x:c r="K25" s="33" t="str">
        <x:v>Long-acting therapy maintained viral suppression in the majority of eligible participants through week 48.</x:v>
      </x:c>
      <x:c r="L25" s="33" t="str">
        <x:v>Resolve through the Generalizability lens using MIOS-linked evidence and translate the statement into a physician-usable answer.</x:v>
      </x:c>
      <x:c r="M25" s="33" t="str">
        <x:v>Use recurring reasoning barriers to sharpen patient-selection logic, sequencing statements, and practice-translation content in MIOS.</x:v>
      </x:c>
      <x:c r="N25" s="33" t="str">
        <x:v>Generated</x:v>
      </x:c>
      <x:c r="O25" s="63"/>
      <x:c r="P25" s="63"/>
      <x:c r="Q25" s="63"/>
      <x:c r="R25" s="63"/>
    </x:row>
    <x:row r="26">
      <x:c r="A26" s="33" t="str">
        <x:v>HIV_LAI_LAUNCH</x:v>
      </x:c>
      <x:c r="B26" s="33" t="str">
        <x:v>HIV_LAI_LAUNCH_ST02</x:v>
      </x:c>
      <x:c r="C26" s="33" t="str">
        <x:v>SB2</x:v>
      </x:c>
      <x:c r="D26" s="33" t="str">
        <x:v>Long-acting injectable ART can support durable viral suppression in appropriately selected patients.</x:v>
      </x:c>
      <x:c r="E26" s="33" t="str">
        <x:v>Even if the evidence is positive, I still need to understand which patients fit, where this belongs in care, and how to use it in practice.</x:v>
      </x:c>
      <x:c r="F26" s="33" t="str">
        <x:v>Clinical Reasoning</x:v>
      </x:c>
      <x:c r="G26" s="33" t="str">
        <x:v>L11</x:v>
      </x:c>
      <x:c r="H26" s="33" t="str">
        <x:v>Patient selection logic</x:v>
      </x:c>
      <x:c r="I26" s="33" t="str">
        <x:v>Who is the right patient? — Long-acting injectable ART can support durable viral suppression in appropriately selected patients.</x:v>
      </x:c>
      <x:c r="J26" s="33" t="str">
        <x:v>EV3 | LAI_Suppression_Trial.pdf p8</x:v>
      </x:c>
      <x:c r="K26" s="33" t="str">
        <x:v>Long-acting therapy maintained viral suppression in the majority of eligible participants through week 48.</x:v>
      </x:c>
      <x:c r="L26" s="33" t="str">
        <x:v>Resolve through the Patient selection logic lens using MIOS-linked evidence and translate the statement into a physician-usable answer.</x:v>
      </x:c>
      <x:c r="M26" s="33" t="str">
        <x:v>Use recurring reasoning barriers to sharpen patient-selection logic, sequencing statements, and practice-translation content in MIOS.</x:v>
      </x:c>
      <x:c r="N26" s="33" t="str">
        <x:v>Generated</x:v>
      </x:c>
      <x:c r="O26" s="63"/>
      <x:c r="P26" s="63"/>
      <x:c r="Q26" s="63"/>
      <x:c r="R26" s="63"/>
    </x:row>
    <x:row r="27">
      <x:c r="A27" s="33" t="str">
        <x:v>HIV_LAI_LAUNCH</x:v>
      </x:c>
      <x:c r="B27" s="33" t="str">
        <x:v>HIV_LAI_LAUNCH_ST02</x:v>
      </x:c>
      <x:c r="C27" s="33" t="str">
        <x:v>SB2</x:v>
      </x:c>
      <x:c r="D27" s="33" t="str">
        <x:v>Long-acting injectable ART can support durable viral suppression in appropriately selected patients.</x:v>
      </x:c>
      <x:c r="E27" s="33" t="str">
        <x:v>Even if the evidence is positive, I still need to understand which patients fit, where this belongs in care, and how to use it in practice.</x:v>
      </x:c>
      <x:c r="F27" s="33" t="str">
        <x:v>Clinical Reasoning</x:v>
      </x:c>
      <x:c r="G27" s="33" t="str">
        <x:v>L12</x:v>
      </x:c>
      <x:c r="H27" s="33" t="str">
        <x:v>Sequencing logic</x:v>
      </x:c>
      <x:c r="I27" s="33" t="str">
        <x:v>When should I use this? — Long-acting injectable ART can support durable viral suppression in appropriately selected patients.</x:v>
      </x:c>
      <x:c r="J27" s="33" t="str">
        <x:v>EV3 | LAI_Suppression_Trial.pdf p8</x:v>
      </x:c>
      <x:c r="K27" s="33" t="str">
        <x:v>Long-acting therapy maintained viral suppression in the majority of eligible participants through week 48.</x:v>
      </x:c>
      <x:c r="L27" s="33" t="str">
        <x:v>Resolve through the Sequencing logic lens using MIOS-linked evidence and translate the statement into a physician-usable answer.</x:v>
      </x:c>
      <x:c r="M27" s="33" t="str">
        <x:v>Use recurring reasoning barriers to sharpen patient-selection logic, sequencing statements, and practice-translation content in MIOS.</x:v>
      </x:c>
      <x:c r="N27" s="33" t="str">
        <x:v>Generated</x:v>
      </x:c>
      <x:c r="O27" s="63"/>
      <x:c r="P27" s="63"/>
      <x:c r="Q27" s="63"/>
      <x:c r="R27" s="63"/>
    </x:row>
    <x:row r="28">
      <x:c r="A28" s="33" t="str">
        <x:v>HIV_LAI_LAUNCH</x:v>
      </x:c>
      <x:c r="B28" s="33" t="str">
        <x:v>HIV_LAI_LAUNCH_ST02</x:v>
      </x:c>
      <x:c r="C28" s="33" t="str">
        <x:v>SB2</x:v>
      </x:c>
      <x:c r="D28" s="33" t="str">
        <x:v>Long-acting injectable ART can support durable viral suppression in appropriately selected patients.</x:v>
      </x:c>
      <x:c r="E28" s="33" t="str">
        <x:v>Even if the evidence is positive, I still need to understand which patients fit, where this belongs in care, and how to use it in practice.</x:v>
      </x:c>
      <x:c r="F28" s="33" t="str">
        <x:v>Clinical Reasoning</x:v>
      </x:c>
      <x:c r="G28" s="33" t="str">
        <x:v>L13</x:v>
      </x:c>
      <x:c r="H28" s="33" t="str">
        <x:v>Magnitude relevance</x:v>
      </x:c>
      <x:c r="I28" s="33" t="str">
        <x:v>Is this benefit meaningful enough? — Long-acting injectable ART can support durable viral suppression in appropriately selected patients.</x:v>
      </x:c>
      <x:c r="J28" s="33" t="str">
        <x:v>EV3 | LAI_Suppression_Trial.pdf p8</x:v>
      </x:c>
      <x:c r="K28" s="33" t="str">
        <x:v>Long-acting therapy maintained viral suppression in the majority of eligible participants through week 48.</x:v>
      </x:c>
      <x:c r="L28" s="33" t="str">
        <x:v>Resolve through the Magnitude relevance lens using MIOS-linked evidence and translate the statement into a physician-usable answer.</x:v>
      </x:c>
      <x:c r="M28" s="33" t="str">
        <x:v>Use recurring reasoning barriers to sharpen patient-selection logic, sequencing statements, and practice-translation content in MIOS.</x:v>
      </x:c>
      <x:c r="N28" s="33" t="str">
        <x:v>Generated</x:v>
      </x:c>
      <x:c r="O28" s="63"/>
      <x:c r="P28" s="63"/>
      <x:c r="Q28" s="63"/>
      <x:c r="R28" s="63"/>
    </x:row>
    <x:row r="29">
      <x:c r="A29" s="33" t="str">
        <x:v>HIV_LAI_LAUNCH</x:v>
      </x:c>
      <x:c r="B29" s="33" t="str">
        <x:v>HIV_LAI_LAUNCH_ST02</x:v>
      </x:c>
      <x:c r="C29" s="33" t="str">
        <x:v>SB2</x:v>
      </x:c>
      <x:c r="D29" s="33" t="str">
        <x:v>Long-acting injectable ART can support durable viral suppression in appropriately selected patients.</x:v>
      </x:c>
      <x:c r="E29" s="33" t="str">
        <x:v>Even if the evidence is positive, I still need to understand which patients fit, where this belongs in care, and how to use it in practice.</x:v>
      </x:c>
      <x:c r="F29" s="33" t="str">
        <x:v>Clinical Reasoning</x:v>
      </x:c>
      <x:c r="G29" s="33" t="str">
        <x:v>L14</x:v>
      </x:c>
      <x:c r="H29" s="33" t="str">
        <x:v>Practice integration</x:v>
      </x:c>
      <x:c r="I29" s="33" t="str">
        <x:v>Can I actually use this in practice? — Long-acting injectable ART can support durable viral suppression in appropriately selected patients.</x:v>
      </x:c>
      <x:c r="J29" s="33" t="str">
        <x:v>EV3 | LAI_Suppression_Trial.pdf p8</x:v>
      </x:c>
      <x:c r="K29" s="33" t="str">
        <x:v>Long-acting therapy maintained viral suppression in the majority of eligible participants through week 48.</x:v>
      </x:c>
      <x:c r="L29" s="33" t="str">
        <x:v>Resolve through the Practice integration lens using MIOS-linked evidence and translate the statement into a physician-usable answer.</x:v>
      </x:c>
      <x:c r="M29" s="33" t="str">
        <x:v>Use recurring reasoning barriers to sharpen patient-selection logic, sequencing statements, and practice-translation content in MIOS.</x:v>
      </x:c>
      <x:c r="N29" s="33" t="str">
        <x:v>Generated</x:v>
      </x:c>
      <x:c r="O29" s="63"/>
      <x:c r="P29" s="63"/>
      <x:c r="Q29" s="63"/>
      <x:c r="R29" s="6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63"/>
      <x:c r="P30" s="63"/>
      <x:c r="Q30" s="63"/>
      <x:c r="R30" s="6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63"/>
      <x:c r="P31" s="63"/>
      <x:c r="Q31" s="63"/>
      <x:c r="R31" s="6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63"/>
      <x:c r="P32" s="63"/>
      <x:c r="Q32" s="63"/>
      <x:c r="R32" s="6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63"/>
      <x:c r="P33" s="63"/>
      <x:c r="Q33" s="63"/>
      <x:c r="R33" s="6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63"/>
      <x:c r="P34" s="63"/>
      <x:c r="Q34" s="63"/>
      <x:c r="R34" s="6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63"/>
      <x:c r="P35" s="63"/>
      <x:c r="Q35" s="63"/>
      <x:c r="R35" s="6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63"/>
      <x:c r="P36" s="63"/>
      <x:c r="Q36" s="63"/>
      <x:c r="R36" s="6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63"/>
      <x:c r="P37" s="63"/>
      <x:c r="Q37" s="63"/>
      <x:c r="R37" s="6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63"/>
      <x:c r="P38" s="63"/>
      <x:c r="Q38" s="63"/>
      <x:c r="R38" s="6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63"/>
      <x:c r="P39" s="63"/>
      <x:c r="Q39" s="63"/>
      <x:c r="R39" s="6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63"/>
      <x:c r="P40" s="63"/>
      <x:c r="Q40" s="63"/>
      <x:c r="R40" s="6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63"/>
      <x:c r="P41" s="63"/>
      <x:c r="Q41" s="63"/>
      <x:c r="R41" s="6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63"/>
      <x:c r="P42" s="63"/>
      <x:c r="Q42" s="63"/>
      <x:c r="R42" s="6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63"/>
      <x:c r="P43" s="63"/>
      <x:c r="Q43" s="63"/>
      <x:c r="R43" s="6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63"/>
      <x:c r="P44" s="63"/>
      <x:c r="Q44" s="63"/>
      <x:c r="R44" s="6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63"/>
      <x:c r="P45" s="63"/>
      <x:c r="Q45" s="63"/>
      <x:c r="R45" s="6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63"/>
      <x:c r="P46" s="63"/>
      <x:c r="Q46" s="63"/>
      <x:c r="R46" s="6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63"/>
      <x:c r="P47" s="63"/>
      <x:c r="Q47" s="63"/>
      <x:c r="R47" s="6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63"/>
      <x:c r="P48" s="63"/>
      <x:c r="Q48" s="63"/>
      <x:c r="R48" s="6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63"/>
      <x:c r="P49" s="63"/>
      <x:c r="Q49" s="63"/>
      <x:c r="R49" s="6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63"/>
      <x:c r="P50" s="63"/>
      <x:c r="Q50" s="63"/>
      <x:c r="R50" s="6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63"/>
      <x:c r="P51" s="63"/>
      <x:c r="Q51" s="63"/>
      <x:c r="R51" s="6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63"/>
      <x:c r="P52" s="63"/>
      <x:c r="Q52" s="63"/>
      <x:c r="R52" s="6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63"/>
      <x:c r="P53" s="63"/>
      <x:c r="Q53" s="63"/>
      <x:c r="R53" s="6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63"/>
      <x:c r="P54" s="63"/>
      <x:c r="Q54" s="63"/>
      <x:c r="R54" s="6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63"/>
      <x:c r="P55" s="63"/>
      <x:c r="Q55" s="63"/>
      <x:c r="R55" s="6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63"/>
      <x:c r="P56" s="63"/>
      <x:c r="Q56" s="63"/>
      <x:c r="R56" s="6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63"/>
      <x:c r="P57" s="63"/>
      <x:c r="Q57" s="63"/>
      <x:c r="R57" s="6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63"/>
      <x:c r="P58" s="63"/>
      <x:c r="Q58" s="63"/>
      <x:c r="R58" s="6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63"/>
      <x:c r="P59" s="63"/>
      <x:c r="Q59" s="63"/>
      <x:c r="R59" s="6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63"/>
      <x:c r="P60" s="63"/>
      <x:c r="Q60" s="63"/>
      <x:c r="R60" s="63"/>
    </x:row>
    <x:row r="6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  <x:c r="N61" s="33"/>
      <x:c r="O61" s="63"/>
      <x:c r="P61" s="63"/>
      <x:c r="Q61" s="63"/>
      <x:c r="R61" s="63"/>
    </x:row>
    <x:row r="62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  <x:c r="O62" s="63"/>
      <x:c r="P62" s="63"/>
      <x:c r="Q62" s="63"/>
      <x:c r="R62" s="63"/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  <x:c r="M63" s="33"/>
      <x:c r="N63" s="33"/>
      <x:c r="O63" s="63"/>
      <x:c r="P63" s="63"/>
      <x:c r="Q63" s="63"/>
      <x:c r="R63" s="63"/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  <x:c r="N64" s="33"/>
      <x:c r="O64" s="63"/>
      <x:c r="P64" s="63"/>
      <x:c r="Q64" s="63"/>
      <x:c r="R64" s="63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  <x:c r="M65" s="33"/>
      <x:c r="N65" s="33"/>
      <x:c r="O65" s="63"/>
      <x:c r="P65" s="63"/>
      <x:c r="Q65" s="63"/>
      <x:c r="R65" s="63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  <x:c r="N66" s="33"/>
      <x:c r="O66" s="63"/>
      <x:c r="P66" s="63"/>
      <x:c r="Q66" s="63"/>
      <x:c r="R66" s="63"/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  <x:c r="M67" s="33"/>
      <x:c r="N67" s="33"/>
      <x:c r="O67" s="63"/>
      <x:c r="P67" s="63"/>
      <x:c r="Q67" s="63"/>
      <x:c r="R67" s="63"/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  <x:c r="O68" s="63"/>
      <x:c r="P68" s="63"/>
      <x:c r="Q68" s="63"/>
      <x:c r="R68" s="63"/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  <x:c r="N69" s="33"/>
      <x:c r="O69" s="63"/>
      <x:c r="P69" s="63"/>
      <x:c r="Q69" s="63"/>
      <x:c r="R69" s="63"/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/>
      <x:c r="O70" s="63"/>
      <x:c r="P70" s="63"/>
      <x:c r="Q70" s="63"/>
      <x:c r="R70" s="63"/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  <x:c r="N71" s="33"/>
      <x:c r="O71" s="63"/>
      <x:c r="P71" s="63"/>
      <x:c r="Q71" s="63"/>
      <x:c r="R71" s="63"/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  <x:c r="N72" s="33"/>
      <x:c r="O72" s="63"/>
      <x:c r="P72" s="63"/>
      <x:c r="Q72" s="63"/>
      <x:c r="R72" s="63"/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  <x:c r="N73" s="33"/>
      <x:c r="O73" s="63"/>
      <x:c r="P73" s="63"/>
      <x:c r="Q73" s="63"/>
      <x:c r="R73" s="63"/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  <x:c r="O74" s="63"/>
      <x:c r="P74" s="63"/>
      <x:c r="Q74" s="63"/>
      <x:c r="R74" s="63"/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  <x:c r="N75" s="33"/>
      <x:c r="O75" s="63"/>
      <x:c r="P75" s="63"/>
      <x:c r="Q75" s="63"/>
      <x:c r="R75" s="63"/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  <x:c r="O76" s="63"/>
      <x:c r="P76" s="63"/>
      <x:c r="Q76" s="63"/>
      <x:c r="R76" s="63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  <x:c r="N77" s="33"/>
      <x:c r="O77" s="63"/>
      <x:c r="P77" s="63"/>
      <x:c r="Q77" s="63"/>
      <x:c r="R77" s="63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  <x:c r="O78" s="63"/>
      <x:c r="P78" s="63"/>
      <x:c r="Q78" s="63"/>
      <x:c r="R78" s="63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  <x:c r="N79" s="33"/>
      <x:c r="O79" s="63"/>
      <x:c r="P79" s="63"/>
      <x:c r="Q79" s="63"/>
      <x:c r="R79" s="63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  <x:c r="O80" s="63"/>
      <x:c r="P80" s="63"/>
      <x:c r="Q80" s="63"/>
      <x:c r="R80" s="63"/>
    </x:row>
    <x:row r="81">
      <x:c r="A81" s="33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  <x:c r="M81" s="33"/>
      <x:c r="N81" s="33"/>
      <x:c r="O81" s="63"/>
      <x:c r="P81" s="63"/>
      <x:c r="Q81" s="63"/>
      <x:c r="R81" s="63"/>
    </x:row>
    <x:row r="82">
      <x:c r="A82" s="33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  <x:c r="N82" s="33"/>
      <x:c r="O82" s="63"/>
      <x:c r="P82" s="63"/>
      <x:c r="Q82" s="63"/>
      <x:c r="R82" s="63"/>
    </x:row>
    <x:row r="83">
      <x:c r="A83" s="33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  <x:c r="M83" s="33"/>
      <x:c r="N83" s="33"/>
      <x:c r="O83" s="63"/>
      <x:c r="P83" s="63"/>
      <x:c r="Q83" s="63"/>
      <x:c r="R83" s="63"/>
    </x:row>
    <x:row r="84">
      <x:c r="A84" s="33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  <x:c r="N84" s="33"/>
      <x:c r="O84" s="63"/>
      <x:c r="P84" s="63"/>
      <x:c r="Q84" s="63"/>
      <x:c r="R84" s="63"/>
    </x:row>
    <x:row r="85">
      <x:c r="A85" s="33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  <x:c r="N85" s="33"/>
      <x:c r="O85" s="63"/>
      <x:c r="P85" s="63"/>
      <x:c r="Q85" s="63"/>
      <x:c r="R85" s="63"/>
    </x:row>
    <x:row r="86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  <x:c r="O86" s="63"/>
      <x:c r="P86" s="63"/>
      <x:c r="Q86" s="63"/>
      <x:c r="R86" s="63"/>
    </x:row>
    <x:row r="87">
      <x:c r="A87" s="33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  <x:c r="M87" s="33"/>
      <x:c r="N87" s="33"/>
      <x:c r="O87" s="63"/>
      <x:c r="P87" s="63"/>
      <x:c r="Q87" s="63"/>
      <x:c r="R87" s="63"/>
    </x:row>
    <x:row r="88">
      <x:c r="A88" s="33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  <x:c r="N88" s="33"/>
      <x:c r="O88" s="63"/>
      <x:c r="P88" s="63"/>
      <x:c r="Q88" s="63"/>
      <x:c r="R88" s="63"/>
    </x:row>
    <x:row r="89">
      <x:c r="A89" s="33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  <x:c r="N89" s="33"/>
      <x:c r="O89" s="63"/>
      <x:c r="P89" s="63"/>
      <x:c r="Q89" s="63"/>
      <x:c r="R89" s="63"/>
    </x:row>
    <x:row r="90">
      <x:c r="A90" s="33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  <x:c r="N90" s="33"/>
      <x:c r="O90" s="63"/>
      <x:c r="P90" s="63"/>
      <x:c r="Q90" s="63"/>
      <x:c r="R90" s="63"/>
    </x:row>
    <x:row r="91">
      <x:c r="A91" s="33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  <x:c r="N91" s="33"/>
      <x:c r="O91" s="63"/>
      <x:c r="P91" s="63"/>
      <x:c r="Q91" s="63"/>
      <x:c r="R91" s="63"/>
    </x:row>
    <x:row r="92">
      <x:c r="A92" s="33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  <x:c r="N92" s="33"/>
      <x:c r="O92" s="63"/>
      <x:c r="P92" s="63"/>
      <x:c r="Q92" s="63"/>
      <x:c r="R92" s="63"/>
    </x:row>
    <x:row r="93">
      <x:c r="A93" s="33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  <x:c r="N93" s="33"/>
      <x:c r="O93" s="63"/>
      <x:c r="P93" s="63"/>
      <x:c r="Q93" s="63"/>
      <x:c r="R93" s="63"/>
    </x:row>
    <x:row r="94">
      <x:c r="A94" s="33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  <x:c r="N94" s="33"/>
      <x:c r="O94" s="63"/>
      <x:c r="P94" s="63"/>
      <x:c r="Q94" s="63"/>
      <x:c r="R94" s="63"/>
    </x:row>
    <x:row r="95">
      <x:c r="A95" s="33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  <x:c r="N95" s="33"/>
      <x:c r="O95" s="63"/>
      <x:c r="P95" s="63"/>
      <x:c r="Q95" s="63"/>
      <x:c r="R95" s="63"/>
    </x:row>
    <x:row r="96">
      <x:c r="A96" s="33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  <x:c r="N96" s="33"/>
      <x:c r="O96" s="63"/>
      <x:c r="P96" s="63"/>
      <x:c r="Q96" s="63"/>
      <x:c r="R96" s="63"/>
    </x:row>
    <x:row r="97">
      <x:c r="A97" s="33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  <x:c r="N97" s="33"/>
      <x:c r="O97" s="63"/>
      <x:c r="P97" s="63"/>
      <x:c r="Q97" s="63"/>
      <x:c r="R97" s="63"/>
    </x:row>
    <x:row r="98">
      <x:c r="A98" s="33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  <x:c r="N98" s="33"/>
      <x:c r="O98" s="63"/>
      <x:c r="P98" s="63"/>
      <x:c r="Q98" s="63"/>
      <x:c r="R98" s="63"/>
    </x:row>
    <x:row r="99">
      <x:c r="A99" s="33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  <x:c r="N99" s="33"/>
      <x:c r="O99" s="63"/>
      <x:c r="P99" s="63"/>
      <x:c r="Q99" s="63"/>
      <x:c r="R99" s="63"/>
    </x:row>
    <x:row r="100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  <x:c r="N100" s="33"/>
      <x:c r="O100" s="63"/>
      <x:c r="P100" s="63"/>
      <x:c r="Q100" s="63"/>
      <x:c r="R100" s="63"/>
    </x:row>
    <x:row r="101">
      <x:c r="A101" s="33"/>
      <x:c r="B101" s="33"/>
      <x:c r="C101" s="33"/>
      <x:c r="D101" s="33"/>
      <x:c r="E101" s="33"/>
      <x:c r="F101" s="33"/>
      <x:c r="G101" s="33"/>
      <x:c r="H101" s="33"/>
      <x:c r="I101" s="33"/>
      <x:c r="J101" s="33"/>
      <x:c r="K101" s="33"/>
      <x:c r="L101" s="33"/>
      <x:c r="M101" s="33"/>
      <x:c r="N101" s="33"/>
      <x:c r="O101" s="63"/>
      <x:c r="P101" s="63"/>
      <x:c r="Q101" s="63"/>
      <x:c r="R101" s="63"/>
    </x:row>
    <x:row r="102">
      <x:c r="A102" s="33"/>
      <x:c r="B102" s="33"/>
      <x:c r="C102" s="33"/>
      <x:c r="D102" s="33"/>
      <x:c r="E102" s="33"/>
      <x:c r="F102" s="33"/>
      <x:c r="G102" s="33"/>
      <x:c r="H102" s="33"/>
      <x:c r="I102" s="33"/>
      <x:c r="J102" s="33"/>
      <x:c r="K102" s="33"/>
      <x:c r="L102" s="33"/>
      <x:c r="M102" s="33"/>
      <x:c r="N102" s="33"/>
      <x:c r="O102" s="63"/>
      <x:c r="P102" s="63"/>
      <x:c r="Q102" s="63"/>
      <x:c r="R102" s="63"/>
    </x:row>
    <x:row r="103">
      <x:c r="A103" s="33"/>
      <x:c r="B103" s="33"/>
      <x:c r="C103" s="33"/>
      <x:c r="D103" s="33"/>
      <x:c r="E103" s="33"/>
      <x:c r="F103" s="33"/>
      <x:c r="G103" s="33"/>
      <x:c r="H103" s="33"/>
      <x:c r="I103" s="33"/>
      <x:c r="J103" s="33"/>
      <x:c r="K103" s="33"/>
      <x:c r="L103" s="33"/>
      <x:c r="M103" s="33"/>
      <x:c r="N103" s="33"/>
      <x:c r="O103" s="63"/>
      <x:c r="P103" s="63"/>
      <x:c r="Q103" s="63"/>
      <x:c r="R103" s="63"/>
    </x:row>
    <x:row r="104">
      <x:c r="A104" s="33"/>
      <x:c r="B104" s="33"/>
      <x:c r="C104" s="33"/>
      <x:c r="D104" s="33"/>
      <x:c r="E104" s="33"/>
      <x:c r="F104" s="33"/>
      <x:c r="G104" s="33"/>
      <x:c r="H104" s="33"/>
      <x:c r="I104" s="33"/>
      <x:c r="J104" s="33"/>
      <x:c r="K104" s="33"/>
      <x:c r="L104" s="33"/>
      <x:c r="M104" s="33"/>
      <x:c r="N104" s="33"/>
      <x:c r="O104" s="63"/>
      <x:c r="P104" s="63"/>
      <x:c r="Q104" s="63"/>
      <x:c r="R104" s="63"/>
    </x:row>
    <x:row r="105">
      <x:c r="A105" s="33"/>
      <x:c r="B105" s="33"/>
      <x:c r="C105" s="33"/>
      <x:c r="D105" s="33"/>
      <x:c r="E105" s="33"/>
      <x:c r="F105" s="33"/>
      <x:c r="G105" s="33"/>
      <x:c r="H105" s="33"/>
      <x:c r="I105" s="33"/>
      <x:c r="J105" s="33"/>
      <x:c r="K105" s="33"/>
      <x:c r="L105" s="33"/>
      <x:c r="M105" s="33"/>
      <x:c r="N105" s="33"/>
      <x:c r="O105" s="63"/>
      <x:c r="P105" s="63"/>
      <x:c r="Q105" s="63"/>
      <x:c r="R105" s="63"/>
    </x:row>
    <x:row r="106">
      <x:c r="A106" s="33"/>
      <x:c r="B106" s="33"/>
      <x:c r="C106" s="33"/>
      <x:c r="D106" s="33"/>
      <x:c r="E106" s="33"/>
      <x:c r="F106" s="33"/>
      <x:c r="G106" s="33"/>
      <x:c r="H106" s="33"/>
      <x:c r="I106" s="33"/>
      <x:c r="J106" s="33"/>
      <x:c r="K106" s="33"/>
      <x:c r="L106" s="33"/>
      <x:c r="M106" s="33"/>
      <x:c r="N106" s="33"/>
      <x:c r="O106" s="63"/>
      <x:c r="P106" s="63"/>
      <x:c r="Q106" s="63"/>
      <x:c r="R106" s="63"/>
    </x:row>
    <x:row r="107">
      <x:c r="A107" s="33"/>
      <x:c r="B107" s="33"/>
      <x:c r="C107" s="33"/>
      <x:c r="D107" s="33"/>
      <x:c r="E107" s="33"/>
      <x:c r="F107" s="33"/>
      <x:c r="G107" s="33"/>
      <x:c r="H107" s="33"/>
      <x:c r="I107" s="33"/>
      <x:c r="J107" s="33"/>
      <x:c r="K107" s="33"/>
      <x:c r="L107" s="33"/>
      <x:c r="M107" s="33"/>
      <x:c r="N107" s="33"/>
      <x:c r="O107" s="63"/>
      <x:c r="P107" s="63"/>
      <x:c r="Q107" s="63"/>
      <x:c r="R107" s="63"/>
    </x:row>
    <x:row r="108">
      <x:c r="A108" s="33"/>
      <x:c r="B108" s="33"/>
      <x:c r="C108" s="33"/>
      <x:c r="D108" s="33"/>
      <x:c r="E108" s="33"/>
      <x:c r="F108" s="33"/>
      <x:c r="G108" s="33"/>
      <x:c r="H108" s="33"/>
      <x:c r="I108" s="33"/>
      <x:c r="J108" s="33"/>
      <x:c r="K108" s="33"/>
      <x:c r="L108" s="33"/>
      <x:c r="M108" s="33"/>
      <x:c r="N108" s="33"/>
      <x:c r="O108" s="63"/>
      <x:c r="P108" s="63"/>
      <x:c r="Q108" s="63"/>
      <x:c r="R108" s="63"/>
    </x:row>
    <x:row r="109">
      <x:c r="A109" s="33"/>
      <x:c r="B109" s="33"/>
      <x:c r="C109" s="33"/>
      <x:c r="D109" s="33"/>
      <x:c r="E109" s="33"/>
      <x:c r="F109" s="33"/>
      <x:c r="G109" s="33"/>
      <x:c r="H109" s="33"/>
      <x:c r="I109" s="33"/>
      <x:c r="J109" s="33"/>
      <x:c r="K109" s="33"/>
      <x:c r="L109" s="33"/>
      <x:c r="M109" s="33"/>
      <x:c r="N109" s="33"/>
      <x:c r="O109" s="63"/>
      <x:c r="P109" s="63"/>
      <x:c r="Q109" s="63"/>
      <x:c r="R109" s="63"/>
    </x:row>
    <x:row r="110">
      <x:c r="A110" s="33"/>
      <x:c r="B110" s="33"/>
      <x:c r="C110" s="33"/>
      <x:c r="D110" s="33"/>
      <x:c r="E110" s="33"/>
      <x:c r="F110" s="33"/>
      <x:c r="G110" s="33"/>
      <x:c r="H110" s="33"/>
      <x:c r="I110" s="33"/>
      <x:c r="J110" s="33"/>
      <x:c r="K110" s="33"/>
      <x:c r="L110" s="33"/>
      <x:c r="M110" s="33"/>
      <x:c r="N110" s="33"/>
      <x:c r="O110" s="63"/>
      <x:c r="P110" s="63"/>
      <x:c r="Q110" s="63"/>
      <x:c r="R110" s="63"/>
    </x:row>
    <x:row r="111">
      <x:c r="A111" s="33"/>
      <x:c r="B111" s="33"/>
      <x:c r="C111" s="33"/>
      <x:c r="D111" s="33"/>
      <x:c r="E111" s="33"/>
      <x:c r="F111" s="33"/>
      <x:c r="G111" s="33"/>
      <x:c r="H111" s="33"/>
      <x:c r="I111" s="33"/>
      <x:c r="J111" s="33"/>
      <x:c r="K111" s="33"/>
      <x:c r="L111" s="33"/>
      <x:c r="M111" s="33"/>
      <x:c r="N111" s="33"/>
      <x:c r="O111" s="63"/>
      <x:c r="P111" s="63"/>
      <x:c r="Q111" s="63"/>
      <x:c r="R111" s="63"/>
    </x:row>
    <x:row r="112">
      <x:c r="A112" s="33"/>
      <x:c r="B112" s="33"/>
      <x:c r="C112" s="33"/>
      <x:c r="D112" s="33"/>
      <x:c r="E112" s="33"/>
      <x:c r="F112" s="33"/>
      <x:c r="G112" s="33"/>
      <x:c r="H112" s="33"/>
      <x:c r="I112" s="33"/>
      <x:c r="J112" s="33"/>
      <x:c r="K112" s="33"/>
      <x:c r="L112" s="33"/>
      <x:c r="M112" s="33"/>
      <x:c r="N112" s="33"/>
      <x:c r="O112" s="63"/>
      <x:c r="P112" s="63"/>
      <x:c r="Q112" s="63"/>
      <x:c r="R112" s="63"/>
    </x:row>
    <x:row r="113">
      <x:c r="A113" s="33"/>
      <x:c r="B113" s="33"/>
      <x:c r="C113" s="33"/>
      <x:c r="D113" s="33"/>
      <x:c r="E113" s="33"/>
      <x:c r="F113" s="33"/>
      <x:c r="G113" s="33"/>
      <x:c r="H113" s="33"/>
      <x:c r="I113" s="33"/>
      <x:c r="J113" s="33"/>
      <x:c r="K113" s="33"/>
      <x:c r="L113" s="33"/>
      <x:c r="M113" s="33"/>
      <x:c r="N113" s="33"/>
      <x:c r="O113" s="63"/>
      <x:c r="P113" s="63"/>
      <x:c r="Q113" s="63"/>
      <x:c r="R113" s="63"/>
    </x:row>
    <x:row r="114">
      <x:c r="A114" s="33"/>
      <x:c r="B114" s="33"/>
      <x:c r="C114" s="33"/>
      <x:c r="D114" s="33"/>
      <x:c r="E114" s="33"/>
      <x:c r="F114" s="33"/>
      <x:c r="G114" s="33"/>
      <x:c r="H114" s="33"/>
      <x:c r="I114" s="33"/>
      <x:c r="J114" s="33"/>
      <x:c r="K114" s="33"/>
      <x:c r="L114" s="33"/>
      <x:c r="M114" s="33"/>
      <x:c r="N114" s="33"/>
      <x:c r="O114" s="63"/>
      <x:c r="P114" s="63"/>
      <x:c r="Q114" s="63"/>
      <x:c r="R114" s="63"/>
    </x:row>
    <x:row r="115">
      <x:c r="A115" s="33"/>
      <x:c r="B115" s="33"/>
      <x:c r="C115" s="33"/>
      <x:c r="D115" s="33"/>
      <x:c r="E115" s="33"/>
      <x:c r="F115" s="33"/>
      <x:c r="G115" s="33"/>
      <x:c r="H115" s="33"/>
      <x:c r="I115" s="33"/>
      <x:c r="J115" s="33"/>
      <x:c r="K115" s="33"/>
      <x:c r="L115" s="33"/>
      <x:c r="M115" s="33"/>
      <x:c r="N115" s="33"/>
      <x:c r="O115" s="63"/>
      <x:c r="P115" s="63"/>
      <x:c r="Q115" s="63"/>
      <x:c r="R115" s="63"/>
    </x:row>
    <x:row r="116">
      <x:c r="A116" s="33"/>
      <x:c r="B116" s="33"/>
      <x:c r="C116" s="33"/>
      <x:c r="D116" s="33"/>
      <x:c r="E116" s="33"/>
      <x:c r="F116" s="33"/>
      <x:c r="G116" s="33"/>
      <x:c r="H116" s="33"/>
      <x:c r="I116" s="33"/>
      <x:c r="J116" s="33"/>
      <x:c r="K116" s="33"/>
      <x:c r="L116" s="33"/>
      <x:c r="M116" s="33"/>
      <x:c r="N116" s="33"/>
      <x:c r="O116" s="63"/>
      <x:c r="P116" s="63"/>
      <x:c r="Q116" s="63"/>
      <x:c r="R116" s="63"/>
    </x:row>
    <x:row r="117">
      <x:c r="A117" s="33"/>
      <x:c r="B117" s="33"/>
      <x:c r="C117" s="33"/>
      <x:c r="D117" s="33"/>
      <x:c r="E117" s="33"/>
      <x:c r="F117" s="33"/>
      <x:c r="G117" s="33"/>
      <x:c r="H117" s="33"/>
      <x:c r="I117" s="33"/>
      <x:c r="J117" s="33"/>
      <x:c r="K117" s="33"/>
      <x:c r="L117" s="33"/>
      <x:c r="M117" s="33"/>
      <x:c r="N117" s="33"/>
      <x:c r="O117" s="63"/>
      <x:c r="P117" s="63"/>
      <x:c r="Q117" s="63"/>
      <x:c r="R117" s="63"/>
    </x:row>
    <x:row r="118">
      <x:c r="A118" s="33"/>
      <x:c r="B118" s="33"/>
      <x:c r="C118" s="33"/>
      <x:c r="D118" s="33"/>
      <x:c r="E118" s="33"/>
      <x:c r="F118" s="33"/>
      <x:c r="G118" s="33"/>
      <x:c r="H118" s="33"/>
      <x:c r="I118" s="33"/>
      <x:c r="J118" s="33"/>
      <x:c r="K118" s="33"/>
      <x:c r="L118" s="33"/>
      <x:c r="M118" s="33"/>
      <x:c r="N118" s="33"/>
      <x:c r="O118" s="63"/>
      <x:c r="P118" s="63"/>
      <x:c r="Q118" s="63"/>
      <x:c r="R118" s="63"/>
    </x:row>
    <x:row r="119">
      <x:c r="A119" s="33"/>
      <x:c r="B119" s="33"/>
      <x:c r="C119" s="33"/>
      <x:c r="D119" s="33"/>
      <x:c r="E119" s="33"/>
      <x:c r="F119" s="33"/>
      <x:c r="G119" s="33"/>
      <x:c r="H119" s="33"/>
      <x:c r="I119" s="33"/>
      <x:c r="J119" s="33"/>
      <x:c r="K119" s="33"/>
      <x:c r="L119" s="33"/>
      <x:c r="M119" s="33"/>
      <x:c r="N119" s="33"/>
      <x:c r="O119" s="63"/>
      <x:c r="P119" s="63"/>
      <x:c r="Q119" s="63"/>
      <x:c r="R119" s="63"/>
    </x:row>
    <x:row r="120">
      <x:c r="A120" s="33"/>
      <x:c r="B120" s="33"/>
      <x:c r="C120" s="33"/>
      <x:c r="D120" s="33"/>
      <x:c r="E120" s="33"/>
      <x:c r="F120" s="33"/>
      <x:c r="G120" s="33"/>
      <x:c r="H120" s="33"/>
      <x:c r="I120" s="33"/>
      <x:c r="J120" s="33"/>
      <x:c r="K120" s="33"/>
      <x:c r="L120" s="33"/>
      <x:c r="M120" s="33"/>
      <x:c r="N120" s="33"/>
      <x:c r="O120" s="63"/>
      <x:c r="P120" s="63"/>
      <x:c r="Q120" s="63"/>
      <x:c r="R120" s="63"/>
    </x:row>
    <x:row r="121">
      <x:c r="A121" s="33"/>
      <x:c r="B121" s="33"/>
      <x:c r="C121" s="33"/>
      <x:c r="D121" s="33"/>
      <x:c r="E121" s="33"/>
      <x:c r="F121" s="33"/>
      <x:c r="G121" s="33"/>
      <x:c r="H121" s="33"/>
      <x:c r="I121" s="33"/>
      <x:c r="J121" s="33"/>
      <x:c r="K121" s="33"/>
      <x:c r="L121" s="33"/>
      <x:c r="M121" s="33"/>
      <x:c r="N121" s="33"/>
      <x:c r="O121" s="63"/>
      <x:c r="P121" s="63"/>
      <x:c r="Q121" s="63"/>
      <x:c r="R121" s="63"/>
    </x:row>
    <x:row r="122">
      <x:c r="A122" s="33"/>
      <x:c r="B122" s="33"/>
      <x:c r="C122" s="33"/>
      <x:c r="D122" s="33"/>
      <x:c r="E122" s="33"/>
      <x:c r="F122" s="33"/>
      <x:c r="G122" s="33"/>
      <x:c r="H122" s="33"/>
      <x:c r="I122" s="33"/>
      <x:c r="J122" s="33"/>
      <x:c r="K122" s="33"/>
      <x:c r="L122" s="33"/>
      <x:c r="M122" s="33"/>
      <x:c r="N122" s="33"/>
      <x:c r="O122" s="63"/>
      <x:c r="P122" s="63"/>
      <x:c r="Q122" s="63"/>
      <x:c r="R122" s="63"/>
    </x:row>
    <x:row r="123">
      <x:c r="A123" s="33"/>
      <x:c r="B123" s="33"/>
      <x:c r="C123" s="33"/>
      <x:c r="D123" s="33"/>
      <x:c r="E123" s="33"/>
      <x:c r="F123" s="33"/>
      <x:c r="G123" s="33"/>
      <x:c r="H123" s="33"/>
      <x:c r="I123" s="33"/>
      <x:c r="J123" s="33"/>
      <x:c r="K123" s="33"/>
      <x:c r="L123" s="33"/>
      <x:c r="M123" s="33"/>
      <x:c r="N123" s="33"/>
      <x:c r="O123" s="63"/>
      <x:c r="P123" s="63"/>
      <x:c r="Q123" s="63"/>
      <x:c r="R123" s="63"/>
    </x:row>
    <x:row r="124">
      <x:c r="A124" s="33"/>
      <x:c r="B124" s="33"/>
      <x:c r="C124" s="33"/>
      <x:c r="D124" s="33"/>
      <x:c r="E124" s="33"/>
      <x:c r="F124" s="33"/>
      <x:c r="G124" s="33"/>
      <x:c r="H124" s="33"/>
      <x:c r="I124" s="33"/>
      <x:c r="J124" s="33"/>
      <x:c r="K124" s="33"/>
      <x:c r="L124" s="33"/>
      <x:c r="M124" s="33"/>
      <x:c r="N124" s="33"/>
      <x:c r="O124" s="63"/>
      <x:c r="P124" s="63"/>
      <x:c r="Q124" s="63"/>
      <x:c r="R124" s="63"/>
    </x:row>
    <x:row r="125">
      <x:c r="A125" s="33"/>
      <x:c r="B125" s="33"/>
      <x:c r="C125" s="33"/>
      <x:c r="D125" s="33"/>
      <x:c r="E125" s="33"/>
      <x:c r="F125" s="33"/>
      <x:c r="G125" s="33"/>
      <x:c r="H125" s="33"/>
      <x:c r="I125" s="33"/>
      <x:c r="J125" s="33"/>
      <x:c r="K125" s="33"/>
      <x:c r="L125" s="33"/>
      <x:c r="M125" s="33"/>
      <x:c r="N125" s="33"/>
      <x:c r="O125" s="63"/>
      <x:c r="P125" s="63"/>
      <x:c r="Q125" s="63"/>
      <x:c r="R125" s="63"/>
    </x:row>
    <x:row r="126">
      <x:c r="A126" s="33"/>
      <x:c r="B126" s="33"/>
      <x:c r="C126" s="33"/>
      <x:c r="D126" s="33"/>
      <x:c r="E126" s="33"/>
      <x:c r="F126" s="33"/>
      <x:c r="G126" s="33"/>
      <x:c r="H126" s="33"/>
      <x:c r="I126" s="33"/>
      <x:c r="J126" s="33"/>
      <x:c r="K126" s="33"/>
      <x:c r="L126" s="33"/>
      <x:c r="M126" s="33"/>
      <x:c r="N126" s="33"/>
      <x:c r="O126" s="63"/>
      <x:c r="P126" s="63"/>
      <x:c r="Q126" s="63"/>
      <x:c r="R126" s="63"/>
    </x:row>
    <x:row r="127">
      <x:c r="A127" s="33"/>
      <x:c r="B127" s="33"/>
      <x:c r="C127" s="33"/>
      <x:c r="D127" s="33"/>
      <x:c r="E127" s="33"/>
      <x:c r="F127" s="33"/>
      <x:c r="G127" s="33"/>
      <x:c r="H127" s="33"/>
      <x:c r="I127" s="33"/>
      <x:c r="J127" s="33"/>
      <x:c r="K127" s="33"/>
      <x:c r="L127" s="33"/>
      <x:c r="M127" s="33"/>
      <x:c r="N127" s="33"/>
      <x:c r="O127" s="63"/>
      <x:c r="P127" s="63"/>
      <x:c r="Q127" s="63"/>
      <x:c r="R127" s="63"/>
    </x:row>
    <x:row r="128">
      <x:c r="A128" s="33"/>
      <x:c r="B128" s="33"/>
      <x:c r="C128" s="33"/>
      <x:c r="D128" s="33"/>
      <x:c r="E128" s="33"/>
      <x:c r="F128" s="33"/>
      <x:c r="G128" s="33"/>
      <x:c r="H128" s="33"/>
      <x:c r="I128" s="33"/>
      <x:c r="J128" s="33"/>
      <x:c r="K128" s="33"/>
      <x:c r="L128" s="33"/>
      <x:c r="M128" s="33"/>
      <x:c r="N128" s="33"/>
      <x:c r="O128" s="63"/>
      <x:c r="P128" s="63"/>
      <x:c r="Q128" s="63"/>
      <x:c r="R128" s="63"/>
    </x:row>
    <x:row r="129">
      <x:c r="A129" s="33"/>
      <x:c r="B129" s="33"/>
      <x:c r="C129" s="33"/>
      <x:c r="D129" s="33"/>
      <x:c r="E129" s="33"/>
      <x:c r="F129" s="33"/>
      <x:c r="G129" s="33"/>
      <x:c r="H129" s="33"/>
      <x:c r="I129" s="33"/>
      <x:c r="J129" s="33"/>
      <x:c r="K129" s="33"/>
      <x:c r="L129" s="33"/>
      <x:c r="M129" s="33"/>
      <x:c r="N129" s="33"/>
      <x:c r="O129" s="63"/>
      <x:c r="P129" s="63"/>
      <x:c r="Q129" s="63"/>
      <x:c r="R129" s="63"/>
    </x:row>
    <x:row r="130">
      <x:c r="A130" s="33"/>
      <x:c r="B130" s="33"/>
      <x:c r="C130" s="33"/>
      <x:c r="D130" s="33"/>
      <x:c r="E130" s="33"/>
      <x:c r="F130" s="33"/>
      <x:c r="G130" s="33"/>
      <x:c r="H130" s="33"/>
      <x:c r="I130" s="33"/>
      <x:c r="J130" s="33"/>
      <x:c r="K130" s="33"/>
      <x:c r="L130" s="33"/>
      <x:c r="M130" s="33"/>
      <x:c r="N130" s="33"/>
      <x:c r="O130" s="63"/>
      <x:c r="P130" s="63"/>
      <x:c r="Q130" s="63"/>
      <x:c r="R130" s="63"/>
    </x:row>
    <x:row r="131">
      <x:c r="A131" s="33"/>
      <x:c r="B131" s="33"/>
      <x:c r="C131" s="33"/>
      <x:c r="D131" s="33"/>
      <x:c r="E131" s="33"/>
      <x:c r="F131" s="33"/>
      <x:c r="G131" s="33"/>
      <x:c r="H131" s="33"/>
      <x:c r="I131" s="33"/>
      <x:c r="J131" s="33"/>
      <x:c r="K131" s="33"/>
      <x:c r="L131" s="33"/>
      <x:c r="M131" s="33"/>
      <x:c r="N131" s="33"/>
      <x:c r="O131" s="63"/>
      <x:c r="P131" s="63"/>
      <x:c r="Q131" s="63"/>
      <x:c r="R131" s="63"/>
    </x:row>
    <x:row r="132">
      <x:c r="A132" s="33"/>
      <x:c r="B132" s="33"/>
      <x:c r="C132" s="33"/>
      <x:c r="D132" s="33"/>
      <x:c r="E132" s="33"/>
      <x:c r="F132" s="33"/>
      <x:c r="G132" s="33"/>
      <x:c r="H132" s="33"/>
      <x:c r="I132" s="33"/>
      <x:c r="J132" s="33"/>
      <x:c r="K132" s="33"/>
      <x:c r="L132" s="33"/>
      <x:c r="M132" s="33"/>
      <x:c r="N132" s="33"/>
      <x:c r="O132" s="63"/>
      <x:c r="P132" s="63"/>
      <x:c r="Q132" s="63"/>
      <x:c r="R132" s="63"/>
    </x:row>
    <x:row r="133">
      <x:c r="A133" s="33"/>
      <x:c r="B133" s="33"/>
      <x:c r="C133" s="33"/>
      <x:c r="D133" s="33"/>
      <x:c r="E133" s="33"/>
      <x:c r="F133" s="33"/>
      <x:c r="G133" s="33"/>
      <x:c r="H133" s="33"/>
      <x:c r="I133" s="33"/>
      <x:c r="J133" s="33"/>
      <x:c r="K133" s="33"/>
      <x:c r="L133" s="33"/>
      <x:c r="M133" s="33"/>
      <x:c r="N133" s="33"/>
      <x:c r="O133" s="63"/>
      <x:c r="P133" s="63"/>
      <x:c r="Q133" s="63"/>
      <x:c r="R133" s="63"/>
    </x:row>
    <x:row r="134">
      <x:c r="A134" s="33"/>
      <x:c r="B134" s="33"/>
      <x:c r="C134" s="33"/>
      <x:c r="D134" s="33"/>
      <x:c r="E134" s="33"/>
      <x:c r="F134" s="33"/>
      <x:c r="G134" s="33"/>
      <x:c r="H134" s="33"/>
      <x:c r="I134" s="33"/>
      <x:c r="J134" s="33"/>
      <x:c r="K134" s="33"/>
      <x:c r="L134" s="33"/>
      <x:c r="M134" s="33"/>
      <x:c r="N134" s="33"/>
      <x:c r="O134" s="63"/>
      <x:c r="P134" s="63"/>
      <x:c r="Q134" s="63"/>
      <x:c r="R134" s="63"/>
    </x:row>
    <x:row r="135">
      <x:c r="A135" s="33"/>
      <x:c r="B135" s="33"/>
      <x:c r="C135" s="33"/>
      <x:c r="D135" s="33"/>
      <x:c r="E135" s="33"/>
      <x:c r="F135" s="33"/>
      <x:c r="G135" s="33"/>
      <x:c r="H135" s="33"/>
      <x:c r="I135" s="33"/>
      <x:c r="J135" s="33"/>
      <x:c r="K135" s="33"/>
      <x:c r="L135" s="33"/>
      <x:c r="M135" s="33"/>
      <x:c r="N135" s="33"/>
      <x:c r="O135" s="63"/>
      <x:c r="P135" s="63"/>
      <x:c r="Q135" s="63"/>
      <x:c r="R135" s="63"/>
    </x:row>
    <x:row r="136">
      <x:c r="A136" s="33"/>
      <x:c r="B136" s="33"/>
      <x:c r="C136" s="33"/>
      <x:c r="D136" s="33"/>
      <x:c r="E136" s="33"/>
      <x:c r="F136" s="33"/>
      <x:c r="G136" s="33"/>
      <x:c r="H136" s="33"/>
      <x:c r="I136" s="33"/>
      <x:c r="J136" s="33"/>
      <x:c r="K136" s="33"/>
      <x:c r="L136" s="33"/>
      <x:c r="M136" s="33"/>
      <x:c r="N136" s="33"/>
      <x:c r="O136" s="63"/>
      <x:c r="P136" s="63"/>
      <x:c r="Q136" s="63"/>
      <x:c r="R136" s="63"/>
    </x:row>
    <x:row r="137">
      <x:c r="A137" s="33"/>
      <x:c r="B137" s="33"/>
      <x:c r="C137" s="33"/>
      <x:c r="D137" s="33"/>
      <x:c r="E137" s="33"/>
      <x:c r="F137" s="33"/>
      <x:c r="G137" s="33"/>
      <x:c r="H137" s="33"/>
      <x:c r="I137" s="33"/>
      <x:c r="J137" s="33"/>
      <x:c r="K137" s="33"/>
      <x:c r="L137" s="33"/>
      <x:c r="M137" s="33"/>
      <x:c r="N137" s="33"/>
      <x:c r="O137" s="63"/>
      <x:c r="P137" s="63"/>
      <x:c r="Q137" s="63"/>
      <x:c r="R137" s="63"/>
    </x:row>
    <x:row r="138">
      <x:c r="A138" s="33"/>
      <x:c r="B138" s="33"/>
      <x:c r="C138" s="33"/>
      <x:c r="D138" s="33"/>
      <x:c r="E138" s="33"/>
      <x:c r="F138" s="33"/>
      <x:c r="G138" s="33"/>
      <x:c r="H138" s="33"/>
      <x:c r="I138" s="33"/>
      <x:c r="J138" s="33"/>
      <x:c r="K138" s="33"/>
      <x:c r="L138" s="33"/>
      <x:c r="M138" s="33"/>
      <x:c r="N138" s="33"/>
      <x:c r="O138" s="63"/>
      <x:c r="P138" s="63"/>
      <x:c r="Q138" s="63"/>
      <x:c r="R138" s="63"/>
    </x:row>
    <x:row r="139">
      <x:c r="A139" s="33"/>
      <x:c r="B139" s="33"/>
      <x:c r="C139" s="33"/>
      <x:c r="D139" s="33"/>
      <x:c r="E139" s="33"/>
      <x:c r="F139" s="33"/>
      <x:c r="G139" s="33"/>
      <x:c r="H139" s="33"/>
      <x:c r="I139" s="33"/>
      <x:c r="J139" s="33"/>
      <x:c r="K139" s="33"/>
      <x:c r="L139" s="33"/>
      <x:c r="M139" s="33"/>
      <x:c r="N139" s="33"/>
      <x:c r="O139" s="63"/>
      <x:c r="P139" s="63"/>
      <x:c r="Q139" s="63"/>
      <x:c r="R139" s="63"/>
    </x:row>
    <x:row r="140">
      <x:c r="A140" s="33"/>
      <x:c r="B140" s="33"/>
      <x:c r="C140" s="33"/>
      <x:c r="D140" s="33"/>
      <x:c r="E140" s="33"/>
      <x:c r="F140" s="33"/>
      <x:c r="G140" s="33"/>
      <x:c r="H140" s="33"/>
      <x:c r="I140" s="33"/>
      <x:c r="J140" s="33"/>
      <x:c r="K140" s="33"/>
      <x:c r="L140" s="33"/>
      <x:c r="M140" s="33"/>
      <x:c r="N140" s="33"/>
      <x:c r="O140" s="63"/>
      <x:c r="P140" s="63"/>
      <x:c r="Q140" s="63"/>
      <x:c r="R140" s="63"/>
    </x:row>
    <x:row r="141">
      <x:c r="A141" s="33"/>
      <x:c r="B141" s="33"/>
      <x:c r="C141" s="33"/>
      <x:c r="D141" s="33"/>
      <x:c r="E141" s="33"/>
      <x:c r="F141" s="33"/>
      <x:c r="G141" s="33"/>
      <x:c r="H141" s="33"/>
      <x:c r="I141" s="33"/>
      <x:c r="J141" s="33"/>
      <x:c r="K141" s="33"/>
      <x:c r="L141" s="33"/>
      <x:c r="M141" s="33"/>
      <x:c r="N141" s="33"/>
      <x:c r="O141" s="63"/>
      <x:c r="P141" s="63"/>
      <x:c r="Q141" s="63"/>
      <x:c r="R141" s="63"/>
    </x:row>
    <x:row r="142">
      <x:c r="A142" s="33"/>
      <x:c r="B142" s="33"/>
      <x:c r="C142" s="33"/>
      <x:c r="D142" s="33"/>
      <x:c r="E142" s="33"/>
      <x:c r="F142" s="33"/>
      <x:c r="G142" s="33"/>
      <x:c r="H142" s="33"/>
      <x:c r="I142" s="33"/>
      <x:c r="J142" s="33"/>
      <x:c r="K142" s="33"/>
      <x:c r="L142" s="33"/>
      <x:c r="M142" s="33"/>
      <x:c r="N142" s="33"/>
      <x:c r="O142" s="63"/>
      <x:c r="P142" s="63"/>
      <x:c r="Q142" s="63"/>
      <x:c r="R142" s="63"/>
    </x:row>
    <x:row r="143">
      <x:c r="A143" s="33"/>
      <x:c r="B143" s="33"/>
      <x:c r="C143" s="33"/>
      <x:c r="D143" s="33"/>
      <x:c r="E143" s="33"/>
      <x:c r="F143" s="33"/>
      <x:c r="G143" s="33"/>
      <x:c r="H143" s="33"/>
      <x:c r="I143" s="33"/>
      <x:c r="J143" s="33"/>
      <x:c r="K143" s="33"/>
      <x:c r="L143" s="33"/>
      <x:c r="M143" s="33"/>
      <x:c r="N143" s="33"/>
      <x:c r="O143" s="63"/>
      <x:c r="P143" s="63"/>
      <x:c r="Q143" s="63"/>
      <x:c r="R143" s="63"/>
    </x:row>
    <x:row r="144">
      <x:c r="A144" s="33"/>
      <x:c r="B144" s="33"/>
      <x:c r="C144" s="33"/>
      <x:c r="D144" s="33"/>
      <x:c r="E144" s="33"/>
      <x:c r="F144" s="33"/>
      <x:c r="G144" s="33"/>
      <x:c r="H144" s="33"/>
      <x:c r="I144" s="33"/>
      <x:c r="J144" s="33"/>
      <x:c r="K144" s="33"/>
      <x:c r="L144" s="33"/>
      <x:c r="M144" s="33"/>
      <x:c r="N144" s="33"/>
      <x:c r="O144" s="63"/>
      <x:c r="P144" s="63"/>
      <x:c r="Q144" s="63"/>
      <x:c r="R144" s="63"/>
    </x:row>
    <x:row r="145">
      <x:c r="A145" s="33"/>
      <x:c r="B145" s="33"/>
      <x:c r="C145" s="33"/>
      <x:c r="D145" s="33"/>
      <x:c r="E145" s="33"/>
      <x:c r="F145" s="33"/>
      <x:c r="G145" s="33"/>
      <x:c r="H145" s="33"/>
      <x:c r="I145" s="33"/>
      <x:c r="J145" s="33"/>
      <x:c r="K145" s="33"/>
      <x:c r="L145" s="33"/>
      <x:c r="M145" s="33"/>
      <x:c r="N145" s="33"/>
      <x:c r="O145" s="63"/>
      <x:c r="P145" s="63"/>
      <x:c r="Q145" s="63"/>
      <x:c r="R145" s="63"/>
    </x:row>
    <x:row r="146">
      <x:c r="A146" s="33"/>
      <x:c r="B146" s="33"/>
      <x:c r="C146" s="33"/>
      <x:c r="D146" s="33"/>
      <x:c r="E146" s="33"/>
      <x:c r="F146" s="33"/>
      <x:c r="G146" s="33"/>
      <x:c r="H146" s="33"/>
      <x:c r="I146" s="33"/>
      <x:c r="J146" s="33"/>
      <x:c r="K146" s="33"/>
      <x:c r="L146" s="33"/>
      <x:c r="M146" s="33"/>
      <x:c r="N146" s="33"/>
      <x:c r="O146" s="63"/>
      <x:c r="P146" s="63"/>
      <x:c r="Q146" s="63"/>
      <x:c r="R146" s="63"/>
    </x:row>
    <x:row r="147">
      <x:c r="A147" s="33"/>
      <x:c r="B147" s="33"/>
      <x:c r="C147" s="33"/>
      <x:c r="D147" s="33"/>
      <x:c r="E147" s="33"/>
      <x:c r="F147" s="33"/>
      <x:c r="G147" s="33"/>
      <x:c r="H147" s="33"/>
      <x:c r="I147" s="33"/>
      <x:c r="J147" s="33"/>
      <x:c r="K147" s="33"/>
      <x:c r="L147" s="33"/>
      <x:c r="M147" s="33"/>
      <x:c r="N147" s="33"/>
      <x:c r="O147" s="63"/>
      <x:c r="P147" s="63"/>
      <x:c r="Q147" s="63"/>
      <x:c r="R147" s="63"/>
    </x:row>
    <x:row r="148">
      <x:c r="A148" s="33"/>
      <x:c r="B148" s="33"/>
      <x:c r="C148" s="33"/>
      <x:c r="D148" s="33"/>
      <x:c r="E148" s="33"/>
      <x:c r="F148" s="33"/>
      <x:c r="G148" s="33"/>
      <x:c r="H148" s="33"/>
      <x:c r="I148" s="33"/>
      <x:c r="J148" s="33"/>
      <x:c r="K148" s="33"/>
      <x:c r="L148" s="33"/>
      <x:c r="M148" s="33"/>
      <x:c r="N148" s="33"/>
      <x:c r="O148" s="63"/>
      <x:c r="P148" s="63"/>
      <x:c r="Q148" s="63"/>
      <x:c r="R148" s="63"/>
    </x:row>
    <x:row r="149">
      <x:c r="A149" s="33"/>
      <x:c r="B149" s="33"/>
      <x:c r="C149" s="33"/>
      <x:c r="D149" s="33"/>
      <x:c r="E149" s="33"/>
      <x:c r="F149" s="33"/>
      <x:c r="G149" s="33"/>
      <x:c r="H149" s="33"/>
      <x:c r="I149" s="33"/>
      <x:c r="J149" s="33"/>
      <x:c r="K149" s="33"/>
      <x:c r="L149" s="33"/>
      <x:c r="M149" s="33"/>
      <x:c r="N149" s="33"/>
      <x:c r="O149" s="63"/>
      <x:c r="P149" s="63"/>
      <x:c r="Q149" s="63"/>
      <x:c r="R149" s="63"/>
    </x:row>
    <x:row r="150">
      <x:c r="A150" s="33"/>
      <x:c r="B150" s="33"/>
      <x:c r="C150" s="33"/>
      <x:c r="D150" s="33"/>
      <x:c r="E150" s="33"/>
      <x:c r="F150" s="33"/>
      <x:c r="G150" s="33"/>
      <x:c r="H150" s="33"/>
      <x:c r="I150" s="33"/>
      <x:c r="J150" s="33"/>
      <x:c r="K150" s="33"/>
      <x:c r="L150" s="33"/>
      <x:c r="M150" s="33"/>
      <x:c r="N150" s="33"/>
      <x:c r="O150" s="63"/>
      <x:c r="P150" s="63"/>
      <x:c r="Q150" s="63"/>
      <x:c r="R150" s="63"/>
    </x:row>
    <x:row r="151">
      <x:c r="A151" s="33"/>
      <x:c r="B151" s="33"/>
      <x:c r="C151" s="33"/>
      <x:c r="D151" s="33"/>
      <x:c r="E151" s="33"/>
      <x:c r="F151" s="33"/>
      <x:c r="G151" s="33"/>
      <x:c r="H151" s="33"/>
      <x:c r="I151" s="33"/>
      <x:c r="J151" s="33"/>
      <x:c r="K151" s="33"/>
      <x:c r="L151" s="33"/>
      <x:c r="M151" s="33"/>
      <x:c r="N151" s="33"/>
      <x:c r="O151" s="63"/>
      <x:c r="P151" s="63"/>
      <x:c r="Q151" s="63"/>
      <x:c r="R151" s="63"/>
    </x:row>
    <x:row r="152">
      <x:c r="A152" s="33"/>
      <x:c r="B152" s="33"/>
      <x:c r="C152" s="33"/>
      <x:c r="D152" s="33"/>
      <x:c r="E152" s="33"/>
      <x:c r="F152" s="33"/>
      <x:c r="G152" s="33"/>
      <x:c r="H152" s="33"/>
      <x:c r="I152" s="33"/>
      <x:c r="J152" s="33"/>
      <x:c r="K152" s="33"/>
      <x:c r="L152" s="33"/>
      <x:c r="M152" s="33"/>
      <x:c r="N152" s="33"/>
      <x:c r="O152" s="63"/>
      <x:c r="P152" s="63"/>
      <x:c r="Q152" s="63"/>
      <x:c r="R152" s="63"/>
    </x:row>
    <x:row r="153">
      <x:c r="A153" s="33"/>
      <x:c r="B153" s="33"/>
      <x:c r="C153" s="33"/>
      <x:c r="D153" s="33"/>
      <x:c r="E153" s="33"/>
      <x:c r="F153" s="33"/>
      <x:c r="G153" s="33"/>
      <x:c r="H153" s="33"/>
      <x:c r="I153" s="33"/>
      <x:c r="J153" s="33"/>
      <x:c r="K153" s="33"/>
      <x:c r="L153" s="33"/>
      <x:c r="M153" s="33"/>
      <x:c r="N153" s="33"/>
      <x:c r="O153" s="63"/>
      <x:c r="P153" s="63"/>
      <x:c r="Q153" s="63"/>
      <x:c r="R153" s="63"/>
    </x:row>
    <x:row r="154">
      <x:c r="A154" s="33"/>
      <x:c r="B154" s="33"/>
      <x:c r="C154" s="33"/>
      <x:c r="D154" s="33"/>
      <x:c r="E154" s="33"/>
      <x:c r="F154" s="33"/>
      <x:c r="G154" s="33"/>
      <x:c r="H154" s="33"/>
      <x:c r="I154" s="33"/>
      <x:c r="J154" s="33"/>
      <x:c r="K154" s="33"/>
      <x:c r="L154" s="33"/>
      <x:c r="M154" s="33"/>
      <x:c r="N154" s="33"/>
      <x:c r="O154" s="63"/>
      <x:c r="P154" s="63"/>
      <x:c r="Q154" s="63"/>
      <x:c r="R154" s="63"/>
    </x:row>
    <x:row r="155">
      <x:c r="A155" s="33"/>
      <x:c r="B155" s="33"/>
      <x:c r="C155" s="33"/>
      <x:c r="D155" s="33"/>
      <x:c r="E155" s="33"/>
      <x:c r="F155" s="33"/>
      <x:c r="G155" s="33"/>
      <x:c r="H155" s="33"/>
      <x:c r="I155" s="33"/>
      <x:c r="J155" s="33"/>
      <x:c r="K155" s="33"/>
      <x:c r="L155" s="33"/>
      <x:c r="M155" s="33"/>
      <x:c r="N155" s="33"/>
      <x:c r="O155" s="63"/>
      <x:c r="P155" s="63"/>
      <x:c r="Q155" s="63"/>
      <x:c r="R155" s="63"/>
    </x:row>
    <x:row r="156">
      <x:c r="A156" s="33"/>
      <x:c r="B156" s="33"/>
      <x:c r="C156" s="33"/>
      <x:c r="D156" s="33"/>
      <x:c r="E156" s="33"/>
      <x:c r="F156" s="33"/>
      <x:c r="G156" s="33"/>
      <x:c r="H156" s="33"/>
      <x:c r="I156" s="33"/>
      <x:c r="J156" s="33"/>
      <x:c r="K156" s="33"/>
      <x:c r="L156" s="33"/>
      <x:c r="M156" s="33"/>
      <x:c r="N156" s="33"/>
      <x:c r="O156" s="63"/>
      <x:c r="P156" s="63"/>
      <x:c r="Q156" s="63"/>
      <x:c r="R156" s="63"/>
    </x:row>
    <x:row r="157">
      <x:c r="A157" s="33"/>
      <x:c r="B157" s="33"/>
      <x:c r="C157" s="33"/>
      <x:c r="D157" s="33"/>
      <x:c r="E157" s="33"/>
      <x:c r="F157" s="33"/>
      <x:c r="G157" s="33"/>
      <x:c r="H157" s="33"/>
      <x:c r="I157" s="33"/>
      <x:c r="J157" s="33"/>
      <x:c r="K157" s="33"/>
      <x:c r="L157" s="33"/>
      <x:c r="M157" s="33"/>
      <x:c r="N157" s="33"/>
      <x:c r="O157" s="63"/>
      <x:c r="P157" s="63"/>
      <x:c r="Q157" s="63"/>
      <x:c r="R157" s="63"/>
    </x:row>
    <x:row r="158">
      <x:c r="A158" s="33"/>
      <x:c r="B158" s="33"/>
      <x:c r="C158" s="33"/>
      <x:c r="D158" s="33"/>
      <x:c r="E158" s="33"/>
      <x:c r="F158" s="33"/>
      <x:c r="G158" s="33"/>
      <x:c r="H158" s="33"/>
      <x:c r="I158" s="33"/>
      <x:c r="J158" s="33"/>
      <x:c r="K158" s="33"/>
      <x:c r="L158" s="33"/>
      <x:c r="M158" s="33"/>
      <x:c r="N158" s="33"/>
      <x:c r="O158" s="63"/>
      <x:c r="P158" s="63"/>
      <x:c r="Q158" s="63"/>
      <x:c r="R158" s="63"/>
    </x:row>
    <x:row r="159">
      <x:c r="A159" s="33"/>
      <x:c r="B159" s="33"/>
      <x:c r="C159" s="33"/>
      <x:c r="D159" s="33"/>
      <x:c r="E159" s="33"/>
      <x:c r="F159" s="33"/>
      <x:c r="G159" s="33"/>
      <x:c r="H159" s="33"/>
      <x:c r="I159" s="33"/>
      <x:c r="J159" s="33"/>
      <x:c r="K159" s="33"/>
      <x:c r="L159" s="33"/>
      <x:c r="M159" s="33"/>
      <x:c r="N159" s="33"/>
      <x:c r="O159" s="63"/>
      <x:c r="P159" s="63"/>
      <x:c r="Q159" s="63"/>
      <x:c r="R159" s="63"/>
    </x:row>
    <x:row r="160">
      <x:c r="A160" s="33"/>
      <x:c r="B160" s="33"/>
      <x:c r="C160" s="33"/>
      <x:c r="D160" s="33"/>
      <x:c r="E160" s="33"/>
      <x:c r="F160" s="33"/>
      <x:c r="G160" s="33"/>
      <x:c r="H160" s="33"/>
      <x:c r="I160" s="33"/>
      <x:c r="J160" s="33"/>
      <x:c r="K160" s="33"/>
      <x:c r="L160" s="33"/>
      <x:c r="M160" s="33"/>
      <x:c r="N160" s="33"/>
      <x:c r="O160" s="63"/>
      <x:c r="P160" s="63"/>
      <x:c r="Q160" s="63"/>
      <x:c r="R160" s="63"/>
    </x:row>
    <x:row r="161">
      <x:c r="A161" s="33"/>
      <x:c r="B161" s="33"/>
      <x:c r="C161" s="33"/>
      <x:c r="D161" s="33"/>
      <x:c r="E161" s="33"/>
      <x:c r="F161" s="33"/>
      <x:c r="G161" s="33"/>
      <x:c r="H161" s="33"/>
      <x:c r="I161" s="33"/>
      <x:c r="J161" s="33"/>
      <x:c r="K161" s="33"/>
      <x:c r="L161" s="33"/>
      <x:c r="M161" s="33"/>
      <x:c r="N161" s="33"/>
      <x:c r="O161" s="63"/>
      <x:c r="P161" s="63"/>
      <x:c r="Q161" s="63"/>
      <x:c r="R161" s="63"/>
    </x:row>
    <x:row r="162">
      <x:c r="A162" s="33"/>
      <x:c r="B162" s="33"/>
      <x:c r="C162" s="33"/>
      <x:c r="D162" s="33"/>
      <x:c r="E162" s="33"/>
      <x:c r="F162" s="33"/>
      <x:c r="G162" s="33"/>
      <x:c r="H162" s="33"/>
      <x:c r="I162" s="33"/>
      <x:c r="J162" s="33"/>
      <x:c r="K162" s="33"/>
      <x:c r="L162" s="33"/>
      <x:c r="M162" s="33"/>
      <x:c r="N162" s="33"/>
      <x:c r="O162" s="63"/>
      <x:c r="P162" s="63"/>
      <x:c r="Q162" s="63"/>
      <x:c r="R162" s="63"/>
    </x:row>
    <x:row r="163">
      <x:c r="A163" s="33"/>
      <x:c r="B163" s="33"/>
      <x:c r="C163" s="33"/>
      <x:c r="D163" s="33"/>
      <x:c r="E163" s="33"/>
      <x:c r="F163" s="33"/>
      <x:c r="G163" s="33"/>
      <x:c r="H163" s="33"/>
      <x:c r="I163" s="33"/>
      <x:c r="J163" s="33"/>
      <x:c r="K163" s="33"/>
      <x:c r="L163" s="33"/>
      <x:c r="M163" s="33"/>
      <x:c r="N163" s="33"/>
      <x:c r="O163" s="63"/>
      <x:c r="P163" s="63"/>
      <x:c r="Q163" s="63"/>
      <x:c r="R163" s="63"/>
    </x:row>
    <x:row r="164">
      <x:c r="A164" s="33"/>
      <x:c r="B164" s="33"/>
      <x:c r="C164" s="33"/>
      <x:c r="D164" s="33"/>
      <x:c r="E164" s="33"/>
      <x:c r="F164" s="33"/>
      <x:c r="G164" s="33"/>
      <x:c r="H164" s="33"/>
      <x:c r="I164" s="33"/>
      <x:c r="J164" s="33"/>
      <x:c r="K164" s="33"/>
      <x:c r="L164" s="33"/>
      <x:c r="M164" s="33"/>
      <x:c r="N164" s="33"/>
      <x:c r="O164" s="63"/>
      <x:c r="P164" s="63"/>
      <x:c r="Q164" s="63"/>
      <x:c r="R164" s="63"/>
    </x:row>
    <x:row r="165">
      <x:c r="A165" s="33"/>
      <x:c r="B165" s="33"/>
      <x:c r="C165" s="33"/>
      <x:c r="D165" s="33"/>
      <x:c r="E165" s="33"/>
      <x:c r="F165" s="33"/>
      <x:c r="G165" s="33"/>
      <x:c r="H165" s="33"/>
      <x:c r="I165" s="33"/>
      <x:c r="J165" s="33"/>
      <x:c r="K165" s="33"/>
      <x:c r="L165" s="33"/>
      <x:c r="M165" s="33"/>
      <x:c r="N165" s="33"/>
      <x:c r="O165" s="63"/>
      <x:c r="P165" s="63"/>
      <x:c r="Q165" s="63"/>
      <x:c r="R165" s="63"/>
    </x:row>
    <x:row r="166">
      <x:c r="A166" s="33"/>
      <x:c r="B166" s="33"/>
      <x:c r="C166" s="33"/>
      <x:c r="D166" s="33"/>
      <x:c r="E166" s="33"/>
      <x:c r="F166" s="33"/>
      <x:c r="G166" s="33"/>
      <x:c r="H166" s="33"/>
      <x:c r="I166" s="33"/>
      <x:c r="J166" s="33"/>
      <x:c r="K166" s="33"/>
      <x:c r="L166" s="33"/>
      <x:c r="M166" s="33"/>
      <x:c r="N166" s="33"/>
      <x:c r="O166" s="63"/>
      <x:c r="P166" s="63"/>
      <x:c r="Q166" s="63"/>
      <x:c r="R166" s="63"/>
    </x:row>
    <x:row r="167">
      <x:c r="A167" s="33"/>
      <x:c r="B167" s="33"/>
      <x:c r="C167" s="33"/>
      <x:c r="D167" s="33"/>
      <x:c r="E167" s="33"/>
      <x:c r="F167" s="33"/>
      <x:c r="G167" s="33"/>
      <x:c r="H167" s="33"/>
      <x:c r="I167" s="33"/>
      <x:c r="J167" s="33"/>
      <x:c r="K167" s="33"/>
      <x:c r="L167" s="33"/>
      <x:c r="M167" s="33"/>
      <x:c r="N167" s="33"/>
      <x:c r="O167" s="63"/>
      <x:c r="P167" s="63"/>
      <x:c r="Q167" s="63"/>
      <x:c r="R167" s="63"/>
    </x:row>
    <x:row r="168">
      <x:c r="A168" s="33"/>
      <x:c r="B168" s="33"/>
      <x:c r="C168" s="33"/>
      <x:c r="D168" s="33"/>
      <x:c r="E168" s="33"/>
      <x:c r="F168" s="33"/>
      <x:c r="G168" s="33"/>
      <x:c r="H168" s="33"/>
      <x:c r="I168" s="33"/>
      <x:c r="J168" s="33"/>
      <x:c r="K168" s="33"/>
      <x:c r="L168" s="33"/>
      <x:c r="M168" s="33"/>
      <x:c r="N168" s="33"/>
      <x:c r="O168" s="63"/>
      <x:c r="P168" s="63"/>
      <x:c r="Q168" s="63"/>
      <x:c r="R168" s="63"/>
    </x:row>
    <x:row r="169">
      <x:c r="A169" s="33"/>
      <x:c r="B169" s="33"/>
      <x:c r="C169" s="33"/>
      <x:c r="D169" s="33"/>
      <x:c r="E169" s="33"/>
      <x:c r="F169" s="33"/>
      <x:c r="G169" s="33"/>
      <x:c r="H169" s="33"/>
      <x:c r="I169" s="33"/>
      <x:c r="J169" s="33"/>
      <x:c r="K169" s="33"/>
      <x:c r="L169" s="33"/>
      <x:c r="M169" s="33"/>
      <x:c r="N169" s="33"/>
      <x:c r="O169" s="63"/>
      <x:c r="P169" s="63"/>
      <x:c r="Q169" s="63"/>
      <x:c r="R169" s="63"/>
    </x:row>
    <x:row r="170">
      <x:c r="A170" s="33"/>
      <x:c r="B170" s="33"/>
      <x:c r="C170" s="33"/>
      <x:c r="D170" s="33"/>
      <x:c r="E170" s="33"/>
      <x:c r="F170" s="33"/>
      <x:c r="G170" s="33"/>
      <x:c r="H170" s="33"/>
      <x:c r="I170" s="33"/>
      <x:c r="J170" s="33"/>
      <x:c r="K170" s="33"/>
      <x:c r="L170" s="33"/>
      <x:c r="M170" s="33"/>
      <x:c r="N170" s="33"/>
      <x:c r="O170" s="63"/>
      <x:c r="P170" s="63"/>
      <x:c r="Q170" s="63"/>
      <x:c r="R170" s="63"/>
    </x:row>
    <x:row r="171">
      <x:c r="A171" s="33"/>
      <x:c r="B171" s="33"/>
      <x:c r="C171" s="33"/>
      <x:c r="D171" s="33"/>
      <x:c r="E171" s="33"/>
      <x:c r="F171" s="33"/>
      <x:c r="G171" s="33"/>
      <x:c r="H171" s="33"/>
      <x:c r="I171" s="33"/>
      <x:c r="J171" s="33"/>
      <x:c r="K171" s="33"/>
      <x:c r="L171" s="33"/>
      <x:c r="M171" s="33"/>
      <x:c r="N171" s="33"/>
      <x:c r="O171" s="63"/>
      <x:c r="P171" s="63"/>
      <x:c r="Q171" s="63"/>
      <x:c r="R171" s="63"/>
    </x:row>
    <x:row r="172">
      <x:c r="A172" s="33"/>
      <x:c r="B172" s="33"/>
      <x:c r="C172" s="33"/>
      <x:c r="D172" s="33"/>
      <x:c r="E172" s="33"/>
      <x:c r="F172" s="33"/>
      <x:c r="G172" s="33"/>
      <x:c r="H172" s="33"/>
      <x:c r="I172" s="33"/>
      <x:c r="J172" s="33"/>
      <x:c r="K172" s="33"/>
      <x:c r="L172" s="33"/>
      <x:c r="M172" s="33"/>
      <x:c r="N172" s="33"/>
      <x:c r="O172" s="63"/>
      <x:c r="P172" s="63"/>
      <x:c r="Q172" s="63"/>
      <x:c r="R172" s="63"/>
    </x:row>
    <x:row r="173">
      <x:c r="A173" s="33"/>
      <x:c r="B173" s="33"/>
      <x:c r="C173" s="33"/>
      <x:c r="D173" s="33"/>
      <x:c r="E173" s="33"/>
      <x:c r="F173" s="33"/>
      <x:c r="G173" s="33"/>
      <x:c r="H173" s="33"/>
      <x:c r="I173" s="33"/>
      <x:c r="J173" s="33"/>
      <x:c r="K173" s="33"/>
      <x:c r="L173" s="33"/>
      <x:c r="M173" s="33"/>
      <x:c r="N173" s="33"/>
      <x:c r="O173" s="63"/>
      <x:c r="P173" s="63"/>
      <x:c r="Q173" s="63"/>
      <x:c r="R173" s="63"/>
    </x:row>
    <x:row r="174">
      <x:c r="A174" s="33"/>
      <x:c r="B174" s="33"/>
      <x:c r="C174" s="33"/>
      <x:c r="D174" s="33"/>
      <x:c r="E174" s="33"/>
      <x:c r="F174" s="33"/>
      <x:c r="G174" s="33"/>
      <x:c r="H174" s="33"/>
      <x:c r="I174" s="33"/>
      <x:c r="J174" s="33"/>
      <x:c r="K174" s="33"/>
      <x:c r="L174" s="33"/>
      <x:c r="M174" s="33"/>
      <x:c r="N174" s="33"/>
      <x:c r="O174" s="63"/>
      <x:c r="P174" s="63"/>
      <x:c r="Q174" s="63"/>
      <x:c r="R174" s="63"/>
    </x:row>
    <x:row r="175">
      <x:c r="A175" s="33"/>
      <x:c r="B175" s="33"/>
      <x:c r="C175" s="33"/>
      <x:c r="D175" s="33"/>
      <x:c r="E175" s="33"/>
      <x:c r="F175" s="33"/>
      <x:c r="G175" s="33"/>
      <x:c r="H175" s="33"/>
      <x:c r="I175" s="33"/>
      <x:c r="J175" s="33"/>
      <x:c r="K175" s="33"/>
      <x:c r="L175" s="33"/>
      <x:c r="M175" s="33"/>
      <x:c r="N175" s="33"/>
      <x:c r="O175" s="63"/>
      <x:c r="P175" s="63"/>
      <x:c r="Q175" s="63"/>
      <x:c r="R175" s="63"/>
    </x:row>
    <x:row r="176">
      <x:c r="A176" s="33"/>
      <x:c r="B176" s="33"/>
      <x:c r="C176" s="33"/>
      <x:c r="D176" s="33"/>
      <x:c r="E176" s="33"/>
      <x:c r="F176" s="33"/>
      <x:c r="G176" s="33"/>
      <x:c r="H176" s="33"/>
      <x:c r="I176" s="33"/>
      <x:c r="J176" s="33"/>
      <x:c r="K176" s="33"/>
      <x:c r="L176" s="33"/>
      <x:c r="M176" s="33"/>
      <x:c r="N176" s="33"/>
      <x:c r="O176" s="63"/>
      <x:c r="P176" s="63"/>
      <x:c r="Q176" s="63"/>
      <x:c r="R176" s="63"/>
    </x:row>
    <x:row r="177">
      <x:c r="A177" s="33"/>
      <x:c r="B177" s="33"/>
      <x:c r="C177" s="33"/>
      <x:c r="D177" s="33"/>
      <x:c r="E177" s="33"/>
      <x:c r="F177" s="33"/>
      <x:c r="G177" s="33"/>
      <x:c r="H177" s="33"/>
      <x:c r="I177" s="33"/>
      <x:c r="J177" s="33"/>
      <x:c r="K177" s="33"/>
      <x:c r="L177" s="33"/>
      <x:c r="M177" s="33"/>
      <x:c r="N177" s="33"/>
      <x:c r="O177" s="63"/>
      <x:c r="P177" s="63"/>
      <x:c r="Q177" s="63"/>
      <x:c r="R177" s="63"/>
    </x:row>
    <x:row r="178">
      <x:c r="A178" s="33"/>
      <x:c r="B178" s="33"/>
      <x:c r="C178" s="33"/>
      <x:c r="D178" s="33"/>
      <x:c r="E178" s="33"/>
      <x:c r="F178" s="33"/>
      <x:c r="G178" s="33"/>
      <x:c r="H178" s="33"/>
      <x:c r="I178" s="33"/>
      <x:c r="J178" s="33"/>
      <x:c r="K178" s="33"/>
      <x:c r="L178" s="33"/>
      <x:c r="M178" s="33"/>
      <x:c r="N178" s="33"/>
      <x:c r="O178" s="63"/>
      <x:c r="P178" s="63"/>
      <x:c r="Q178" s="63"/>
      <x:c r="R178" s="63"/>
    </x:row>
    <x:row r="179">
      <x:c r="A179" s="33"/>
      <x:c r="B179" s="33"/>
      <x:c r="C179" s="33"/>
      <x:c r="D179" s="33"/>
      <x:c r="E179" s="33"/>
      <x:c r="F179" s="33"/>
      <x:c r="G179" s="33"/>
      <x:c r="H179" s="33"/>
      <x:c r="I179" s="33"/>
      <x:c r="J179" s="33"/>
      <x:c r="K179" s="33"/>
      <x:c r="L179" s="33"/>
      <x:c r="M179" s="33"/>
      <x:c r="N179" s="33"/>
      <x:c r="O179" s="63"/>
      <x:c r="P179" s="63"/>
      <x:c r="Q179" s="63"/>
      <x:c r="R179" s="63"/>
    </x:row>
    <x:row r="180">
      <x:c r="A180" s="33"/>
      <x:c r="B180" s="33"/>
      <x:c r="C180" s="33"/>
      <x:c r="D180" s="33"/>
      <x:c r="E180" s="33"/>
      <x:c r="F180" s="33"/>
      <x:c r="G180" s="33"/>
      <x:c r="H180" s="33"/>
      <x:c r="I180" s="33"/>
      <x:c r="J180" s="33"/>
      <x:c r="K180" s="33"/>
      <x:c r="L180" s="33"/>
      <x:c r="M180" s="33"/>
      <x:c r="N180" s="33"/>
      <x:c r="O180" s="63"/>
      <x:c r="P180" s="63"/>
      <x:c r="Q180" s="63"/>
      <x:c r="R180" s="63"/>
    </x:row>
    <x:row r="181">
      <x:c r="A181" s="33"/>
      <x:c r="B181" s="33"/>
      <x:c r="C181" s="33"/>
      <x:c r="D181" s="33"/>
      <x:c r="E181" s="33"/>
      <x:c r="F181" s="33"/>
      <x:c r="G181" s="33"/>
      <x:c r="H181" s="33"/>
      <x:c r="I181" s="33"/>
      <x:c r="J181" s="33"/>
      <x:c r="K181" s="33"/>
      <x:c r="L181" s="33"/>
      <x:c r="M181" s="33"/>
      <x:c r="N181" s="33"/>
      <x:c r="O181" s="63"/>
      <x:c r="P181" s="63"/>
      <x:c r="Q181" s="63"/>
      <x:c r="R181" s="63"/>
    </x:row>
    <x:row r="182">
      <x:c r="A182" s="33"/>
      <x:c r="B182" s="33"/>
      <x:c r="C182" s="33"/>
      <x:c r="D182" s="33"/>
      <x:c r="E182" s="33"/>
      <x:c r="F182" s="33"/>
      <x:c r="G182" s="33"/>
      <x:c r="H182" s="33"/>
      <x:c r="I182" s="33"/>
      <x:c r="J182" s="33"/>
      <x:c r="K182" s="33"/>
      <x:c r="L182" s="33"/>
      <x:c r="M182" s="33"/>
      <x:c r="N182" s="33"/>
      <x:c r="O182" s="63"/>
      <x:c r="P182" s="63"/>
      <x:c r="Q182" s="63"/>
      <x:c r="R182" s="63"/>
    </x:row>
    <x:row r="183">
      <x:c r="A183" s="33"/>
      <x:c r="B183" s="33"/>
      <x:c r="C183" s="33"/>
      <x:c r="D183" s="33"/>
      <x:c r="E183" s="33"/>
      <x:c r="F183" s="33"/>
      <x:c r="G183" s="33"/>
      <x:c r="H183" s="33"/>
      <x:c r="I183" s="33"/>
      <x:c r="J183" s="33"/>
      <x:c r="K183" s="33"/>
      <x:c r="L183" s="33"/>
      <x:c r="M183" s="33"/>
      <x:c r="N183" s="33"/>
      <x:c r="O183" s="63"/>
      <x:c r="P183" s="63"/>
      <x:c r="Q183" s="63"/>
      <x:c r="R183" s="63"/>
    </x:row>
    <x:row r="184">
      <x:c r="A184" s="33"/>
      <x:c r="B184" s="33"/>
      <x:c r="C184" s="33"/>
      <x:c r="D184" s="33"/>
      <x:c r="E184" s="33"/>
      <x:c r="F184" s="33"/>
      <x:c r="G184" s="33"/>
      <x:c r="H184" s="33"/>
      <x:c r="I184" s="33"/>
      <x:c r="J184" s="33"/>
      <x:c r="K184" s="33"/>
      <x:c r="L184" s="33"/>
      <x:c r="M184" s="33"/>
      <x:c r="N184" s="33"/>
      <x:c r="O184" s="63"/>
      <x:c r="P184" s="63"/>
      <x:c r="Q184" s="63"/>
      <x:c r="R184" s="63"/>
    </x:row>
    <x:row r="185">
      <x:c r="A185" s="33"/>
      <x:c r="B185" s="33"/>
      <x:c r="C185" s="33"/>
      <x:c r="D185" s="33"/>
      <x:c r="E185" s="33"/>
      <x:c r="F185" s="33"/>
      <x:c r="G185" s="33"/>
      <x:c r="H185" s="33"/>
      <x:c r="I185" s="33"/>
      <x:c r="J185" s="33"/>
      <x:c r="K185" s="33"/>
      <x:c r="L185" s="33"/>
      <x:c r="M185" s="33"/>
      <x:c r="N185" s="33"/>
      <x:c r="O185" s="63"/>
      <x:c r="P185" s="63"/>
      <x:c r="Q185" s="63"/>
      <x:c r="R185" s="63"/>
    </x:row>
    <x:row r="186">
      <x:c r="A186" s="33"/>
      <x:c r="B186" s="33"/>
      <x:c r="C186" s="33"/>
      <x:c r="D186" s="33"/>
      <x:c r="E186" s="33"/>
      <x:c r="F186" s="33"/>
      <x:c r="G186" s="33"/>
      <x:c r="H186" s="33"/>
      <x:c r="I186" s="33"/>
      <x:c r="J186" s="33"/>
      <x:c r="K186" s="33"/>
      <x:c r="L186" s="33"/>
      <x:c r="M186" s="33"/>
      <x:c r="N186" s="33"/>
      <x:c r="O186" s="63"/>
      <x:c r="P186" s="63"/>
      <x:c r="Q186" s="63"/>
      <x:c r="R186" s="63"/>
    </x:row>
    <x:row r="187">
      <x:c r="A187" s="33"/>
      <x:c r="B187" s="33"/>
      <x:c r="C187" s="33"/>
      <x:c r="D187" s="33"/>
      <x:c r="E187" s="33"/>
      <x:c r="F187" s="33"/>
      <x:c r="G187" s="33"/>
      <x:c r="H187" s="33"/>
      <x:c r="I187" s="33"/>
      <x:c r="J187" s="33"/>
      <x:c r="K187" s="33"/>
      <x:c r="L187" s="33"/>
      <x:c r="M187" s="33"/>
      <x:c r="N187" s="33"/>
      <x:c r="O187" s="63"/>
      <x:c r="P187" s="63"/>
      <x:c r="Q187" s="63"/>
      <x:c r="R187" s="63"/>
    </x:row>
    <x:row r="188">
      <x:c r="A188" s="33"/>
      <x:c r="B188" s="33"/>
      <x:c r="C188" s="33"/>
      <x:c r="D188" s="33"/>
      <x:c r="E188" s="33"/>
      <x:c r="F188" s="33"/>
      <x:c r="G188" s="33"/>
      <x:c r="H188" s="33"/>
      <x:c r="I188" s="33"/>
      <x:c r="J188" s="33"/>
      <x:c r="K188" s="33"/>
      <x:c r="L188" s="33"/>
      <x:c r="M188" s="33"/>
      <x:c r="N188" s="33"/>
      <x:c r="O188" s="63"/>
      <x:c r="P188" s="63"/>
      <x:c r="Q188" s="63"/>
      <x:c r="R188" s="63"/>
    </x:row>
    <x:row r="189">
      <x:c r="A189" s="33"/>
      <x:c r="B189" s="33"/>
      <x:c r="C189" s="33"/>
      <x:c r="D189" s="33"/>
      <x:c r="E189" s="33"/>
      <x:c r="F189" s="33"/>
      <x:c r="G189" s="33"/>
      <x:c r="H189" s="33"/>
      <x:c r="I189" s="33"/>
      <x:c r="J189" s="33"/>
      <x:c r="K189" s="33"/>
      <x:c r="L189" s="33"/>
      <x:c r="M189" s="33"/>
      <x:c r="N189" s="33"/>
      <x:c r="O189" s="63"/>
      <x:c r="P189" s="63"/>
      <x:c r="Q189" s="63"/>
      <x:c r="R189" s="63"/>
    </x:row>
    <x:row r="190">
      <x:c r="A190" s="33"/>
      <x:c r="B190" s="33"/>
      <x:c r="C190" s="33"/>
      <x:c r="D190" s="33"/>
      <x:c r="E190" s="33"/>
      <x:c r="F190" s="33"/>
      <x:c r="G190" s="33"/>
      <x:c r="H190" s="33"/>
      <x:c r="I190" s="33"/>
      <x:c r="J190" s="33"/>
      <x:c r="K190" s="33"/>
      <x:c r="L190" s="33"/>
      <x:c r="M190" s="33"/>
      <x:c r="N190" s="33"/>
      <x:c r="O190" s="63"/>
      <x:c r="P190" s="63"/>
      <x:c r="Q190" s="63"/>
      <x:c r="R190" s="63"/>
    </x:row>
    <x:row r="191">
      <x:c r="A191" s="33"/>
      <x:c r="B191" s="33"/>
      <x:c r="C191" s="33"/>
      <x:c r="D191" s="33"/>
      <x:c r="E191" s="33"/>
      <x:c r="F191" s="33"/>
      <x:c r="G191" s="33"/>
      <x:c r="H191" s="33"/>
      <x:c r="I191" s="33"/>
      <x:c r="J191" s="33"/>
      <x:c r="K191" s="33"/>
      <x:c r="L191" s="33"/>
      <x:c r="M191" s="33"/>
      <x:c r="N191" s="33"/>
      <x:c r="O191" s="63"/>
      <x:c r="P191" s="63"/>
      <x:c r="Q191" s="63"/>
      <x:c r="R191" s="63"/>
    </x:row>
    <x:row r="192">
      <x:c r="A192" s="33"/>
      <x:c r="B192" s="33"/>
      <x:c r="C192" s="33"/>
      <x:c r="D192" s="33"/>
      <x:c r="E192" s="33"/>
      <x:c r="F192" s="33"/>
      <x:c r="G192" s="33"/>
      <x:c r="H192" s="33"/>
      <x:c r="I192" s="33"/>
      <x:c r="J192" s="33"/>
      <x:c r="K192" s="33"/>
      <x:c r="L192" s="33"/>
      <x:c r="M192" s="33"/>
      <x:c r="N192" s="33"/>
      <x:c r="O192" s="63"/>
      <x:c r="P192" s="63"/>
      <x:c r="Q192" s="63"/>
      <x:c r="R192" s="63"/>
    </x:row>
    <x:row r="193">
      <x:c r="A193" s="33"/>
      <x:c r="B193" s="33"/>
      <x:c r="C193" s="33"/>
      <x:c r="D193" s="33"/>
      <x:c r="E193" s="33"/>
      <x:c r="F193" s="33"/>
      <x:c r="G193" s="33"/>
      <x:c r="H193" s="33"/>
      <x:c r="I193" s="33"/>
      <x:c r="J193" s="33"/>
      <x:c r="K193" s="33"/>
      <x:c r="L193" s="33"/>
      <x:c r="M193" s="33"/>
      <x:c r="N193" s="33"/>
      <x:c r="O193" s="63"/>
      <x:c r="P193" s="63"/>
      <x:c r="Q193" s="63"/>
      <x:c r="R193" s="63"/>
    </x:row>
    <x:row r="194">
      <x:c r="A194" s="33"/>
      <x:c r="B194" s="33"/>
      <x:c r="C194" s="33"/>
      <x:c r="D194" s="33"/>
      <x:c r="E194" s="33"/>
      <x:c r="F194" s="33"/>
      <x:c r="G194" s="33"/>
      <x:c r="H194" s="33"/>
      <x:c r="I194" s="33"/>
      <x:c r="J194" s="33"/>
      <x:c r="K194" s="33"/>
      <x:c r="L194" s="33"/>
      <x:c r="M194" s="33"/>
      <x:c r="N194" s="33"/>
      <x:c r="O194" s="63"/>
      <x:c r="P194" s="63"/>
      <x:c r="Q194" s="63"/>
      <x:c r="R194" s="63"/>
    </x:row>
    <x:row r="195">
      <x:c r="A195" s="33"/>
      <x:c r="B195" s="33"/>
      <x:c r="C195" s="33"/>
      <x:c r="D195" s="33"/>
      <x:c r="E195" s="33"/>
      <x:c r="F195" s="33"/>
      <x:c r="G195" s="33"/>
      <x:c r="H195" s="33"/>
      <x:c r="I195" s="33"/>
      <x:c r="J195" s="33"/>
      <x:c r="K195" s="33"/>
      <x:c r="L195" s="33"/>
      <x:c r="M195" s="33"/>
      <x:c r="N195" s="33"/>
      <x:c r="O195" s="63"/>
      <x:c r="P195" s="63"/>
      <x:c r="Q195" s="63"/>
      <x:c r="R195" s="63"/>
    </x:row>
    <x:row r="196">
      <x:c r="A196" s="33"/>
      <x:c r="B196" s="33"/>
      <x:c r="C196" s="33"/>
      <x:c r="D196" s="33"/>
      <x:c r="E196" s="33"/>
      <x:c r="F196" s="33"/>
      <x:c r="G196" s="33"/>
      <x:c r="H196" s="33"/>
      <x:c r="I196" s="33"/>
      <x:c r="J196" s="33"/>
      <x:c r="K196" s="33"/>
      <x:c r="L196" s="33"/>
      <x:c r="M196" s="33"/>
      <x:c r="N196" s="33"/>
      <x:c r="O196" s="63"/>
      <x:c r="P196" s="63"/>
      <x:c r="Q196" s="63"/>
      <x:c r="R196" s="63"/>
    </x:row>
    <x:row r="197">
      <x:c r="A197" s="33"/>
      <x:c r="B197" s="33"/>
      <x:c r="C197" s="33"/>
      <x:c r="D197" s="33"/>
      <x:c r="E197" s="33"/>
      <x:c r="F197" s="33"/>
      <x:c r="G197" s="33"/>
      <x:c r="H197" s="33"/>
      <x:c r="I197" s="33"/>
      <x:c r="J197" s="33"/>
      <x:c r="K197" s="33"/>
      <x:c r="L197" s="33"/>
      <x:c r="M197" s="33"/>
      <x:c r="N197" s="33"/>
      <x:c r="O197" s="63"/>
      <x:c r="P197" s="63"/>
      <x:c r="Q197" s="63"/>
      <x:c r="R197" s="63"/>
    </x:row>
    <x:row r="198">
      <x:c r="A198" s="33"/>
      <x:c r="B198" s="33"/>
      <x:c r="C198" s="33"/>
      <x:c r="D198" s="33"/>
      <x:c r="E198" s="33"/>
      <x:c r="F198" s="33"/>
      <x:c r="G198" s="33"/>
      <x:c r="H198" s="33"/>
      <x:c r="I198" s="33"/>
      <x:c r="J198" s="33"/>
      <x:c r="K198" s="33"/>
      <x:c r="L198" s="33"/>
      <x:c r="M198" s="33"/>
      <x:c r="N198" s="33"/>
      <x:c r="O198" s="63"/>
      <x:c r="P198" s="63"/>
      <x:c r="Q198" s="63"/>
      <x:c r="R198" s="63"/>
    </x:row>
    <x:row r="199">
      <x:c r="A199" s="33"/>
      <x:c r="B199" s="33"/>
      <x:c r="C199" s="33"/>
      <x:c r="D199" s="33"/>
      <x:c r="E199" s="33"/>
      <x:c r="F199" s="33"/>
      <x:c r="G199" s="33"/>
      <x:c r="H199" s="33"/>
      <x:c r="I199" s="33"/>
      <x:c r="J199" s="33"/>
      <x:c r="K199" s="33"/>
      <x:c r="L199" s="33"/>
      <x:c r="M199" s="33"/>
      <x:c r="N199" s="33"/>
      <x:c r="O199" s="63"/>
      <x:c r="P199" s="63"/>
      <x:c r="Q199" s="63"/>
      <x:c r="R199" s="63"/>
    </x:row>
    <x:row r="200">
      <x:c r="A200" s="33"/>
      <x:c r="B200" s="33"/>
      <x:c r="C200" s="33"/>
      <x:c r="D200" s="33"/>
      <x:c r="E200" s="33"/>
      <x:c r="F200" s="33"/>
      <x:c r="G200" s="33"/>
      <x:c r="H200" s="33"/>
      <x:c r="I200" s="33"/>
      <x:c r="J200" s="33"/>
      <x:c r="K200" s="33"/>
      <x:c r="L200" s="33"/>
      <x:c r="M200" s="33"/>
      <x:c r="N200" s="33"/>
      <x:c r="O200" s="63"/>
      <x:c r="P200" s="63"/>
      <x:c r="Q200" s="63"/>
      <x:c r="R200" s="63"/>
    </x:row>
    <x:row r="201">
      <x:c r="A201" s="63"/>
      <x:c r="B201" s="63"/>
      <x:c r="C201" s="63"/>
      <x:c r="D201" s="63"/>
      <x:c r="E201" s="63"/>
      <x:c r="F201" s="63"/>
      <x:c r="G201" s="63"/>
      <x:c r="H201" s="63"/>
      <x:c r="I201" s="63"/>
      <x:c r="J201" s="63"/>
      <x:c r="K201" s="63"/>
      <x:c r="L201" s="63"/>
      <x:c r="M201" s="63"/>
      <x:c r="N201" s="63"/>
      <x:c r="O201" s="63"/>
      <x:c r="P201" s="63"/>
      <x:c r="Q201" s="63"/>
      <x:c r="R201" s="63"/>
    </x:row>
    <x:row r="202">
      <x:c r="A202" s="63"/>
      <x:c r="B202" s="63"/>
      <x:c r="C202" s="63"/>
      <x:c r="D202" s="63"/>
      <x:c r="E202" s="63"/>
      <x:c r="F202" s="63"/>
      <x:c r="G202" s="63"/>
      <x:c r="H202" s="63"/>
      <x:c r="I202" s="63"/>
      <x:c r="J202" s="63"/>
      <x:c r="K202" s="63"/>
      <x:c r="L202" s="63"/>
      <x:c r="M202" s="63"/>
      <x:c r="N202" s="63"/>
      <x:c r="O202" s="63"/>
      <x:c r="P202" s="63"/>
      <x:c r="Q202" s="63"/>
      <x:c r="R202" s="63"/>
    </x:row>
    <x:row r="203">
      <x:c r="A203" s="63"/>
      <x:c r="B203" s="63"/>
      <x:c r="C203" s="63"/>
      <x:c r="D203" s="63"/>
      <x:c r="E203" s="63"/>
      <x:c r="F203" s="63"/>
      <x:c r="G203" s="63"/>
      <x:c r="H203" s="63"/>
      <x:c r="I203" s="63"/>
      <x:c r="J203" s="63"/>
      <x:c r="K203" s="63"/>
      <x:c r="L203" s="63"/>
      <x:c r="M203" s="63"/>
      <x:c r="N203" s="63"/>
      <x:c r="O203" s="63"/>
      <x:c r="P203" s="63"/>
      <x:c r="Q203" s="63"/>
      <x:c r="R203" s="63"/>
    </x:row>
    <x:row r="204">
      <x:c r="A204" s="63"/>
      <x:c r="B204" s="63"/>
      <x:c r="C204" s="63"/>
      <x:c r="D204" s="63"/>
      <x:c r="E204" s="63"/>
      <x:c r="F204" s="63"/>
      <x:c r="G204" s="63"/>
      <x:c r="H204" s="63"/>
      <x:c r="I204" s="63"/>
      <x:c r="J204" s="63"/>
      <x:c r="K204" s="63"/>
      <x:c r="L204" s="63"/>
      <x:c r="M204" s="63"/>
      <x:c r="N204" s="63"/>
      <x:c r="O204" s="63"/>
      <x:c r="P204" s="63"/>
      <x:c r="Q204" s="63"/>
      <x:c r="R204" s="63"/>
    </x:row>
    <x:row r="205">
      <x:c r="A205" s="63"/>
      <x:c r="B205" s="63"/>
      <x:c r="C205" s="63"/>
      <x:c r="D205" s="63"/>
      <x:c r="E205" s="63"/>
      <x:c r="F205" s="63"/>
      <x:c r="G205" s="63"/>
      <x:c r="H205" s="63"/>
      <x:c r="I205" s="63"/>
      <x:c r="J205" s="63"/>
      <x:c r="K205" s="63"/>
      <x:c r="L205" s="63"/>
      <x:c r="M205" s="63"/>
      <x:c r="N205" s="63"/>
      <x:c r="O205" s="63"/>
      <x:c r="P205" s="63"/>
      <x:c r="Q205" s="63"/>
      <x:c r="R205" s="63"/>
    </x:row>
    <x:row r="206">
      <x:c r="A206" s="63"/>
      <x:c r="B206" s="63"/>
      <x:c r="C206" s="63"/>
      <x:c r="D206" s="63"/>
      <x:c r="E206" s="63"/>
      <x:c r="F206" s="63"/>
      <x:c r="G206" s="63"/>
      <x:c r="H206" s="63"/>
      <x:c r="I206" s="63"/>
      <x:c r="J206" s="63"/>
      <x:c r="K206" s="63"/>
      <x:c r="L206" s="63"/>
      <x:c r="M206" s="63"/>
      <x:c r="N206" s="63"/>
      <x:c r="O206" s="63"/>
      <x:c r="P206" s="63"/>
      <x:c r="Q206" s="63"/>
      <x:c r="R206" s="63"/>
    </x:row>
    <x:row r="207">
      <x:c r="A207" s="63"/>
      <x:c r="B207" s="63"/>
      <x:c r="C207" s="63"/>
      <x:c r="D207" s="63"/>
      <x:c r="E207" s="63"/>
      <x:c r="F207" s="63"/>
      <x:c r="G207" s="63"/>
      <x:c r="H207" s="63"/>
      <x:c r="I207" s="63"/>
      <x:c r="J207" s="63"/>
      <x:c r="K207" s="63"/>
      <x:c r="L207" s="63"/>
      <x:c r="M207" s="63"/>
      <x:c r="N207" s="63"/>
      <x:c r="O207" s="63"/>
      <x:c r="P207" s="63"/>
      <x:c r="Q207" s="63"/>
      <x:c r="R207" s="63"/>
    </x:row>
    <x:row r="208">
      <x:c r="A208" s="63"/>
      <x:c r="B208" s="63"/>
      <x:c r="C208" s="63"/>
      <x:c r="D208" s="63"/>
      <x:c r="E208" s="63"/>
      <x:c r="F208" s="63"/>
      <x:c r="G208" s="63"/>
      <x:c r="H208" s="63"/>
      <x:c r="I208" s="63"/>
      <x:c r="J208" s="63"/>
      <x:c r="K208" s="63"/>
      <x:c r="L208" s="63"/>
      <x:c r="M208" s="63"/>
      <x:c r="N208" s="63"/>
      <x:c r="O208" s="63"/>
      <x:c r="P208" s="63"/>
      <x:c r="Q208" s="63"/>
      <x:c r="R208" s="63"/>
    </x:row>
    <x:row r="209">
      <x:c r="A209" s="63"/>
      <x:c r="B209" s="63"/>
      <x:c r="C209" s="63"/>
      <x:c r="D209" s="63"/>
      <x:c r="E209" s="63"/>
      <x:c r="F209" s="63"/>
      <x:c r="G209" s="63"/>
      <x:c r="H209" s="63"/>
      <x:c r="I209" s="63"/>
      <x:c r="J209" s="63"/>
      <x:c r="K209" s="63"/>
      <x:c r="L209" s="63"/>
      <x:c r="M209" s="63"/>
      <x:c r="N209" s="63"/>
      <x:c r="O209" s="63"/>
      <x:c r="P209" s="63"/>
      <x:c r="Q209" s="63"/>
      <x:c r="R209" s="63"/>
    </x:row>
    <x:row r="210">
      <x:c r="A210" s="63"/>
      <x:c r="B210" s="63"/>
      <x:c r="C210" s="63"/>
      <x:c r="D210" s="63"/>
      <x:c r="E210" s="63"/>
      <x:c r="F210" s="63"/>
      <x:c r="G210" s="63"/>
      <x:c r="H210" s="63"/>
      <x:c r="I210" s="63"/>
      <x:c r="J210" s="63"/>
      <x:c r="K210" s="63"/>
      <x:c r="L210" s="63"/>
      <x:c r="M210" s="63"/>
      <x:c r="N210" s="63"/>
      <x:c r="O210" s="63"/>
      <x:c r="P210" s="63"/>
      <x:c r="Q210" s="63"/>
      <x:c r="R210" s="63"/>
    </x:row>
    <x:row r="211">
      <x:c r="A211" s="63"/>
      <x:c r="B211" s="63"/>
      <x:c r="C211" s="63"/>
      <x:c r="D211" s="63"/>
      <x:c r="E211" s="63"/>
      <x:c r="F211" s="63"/>
      <x:c r="G211" s="63"/>
      <x:c r="H211" s="63"/>
      <x:c r="I211" s="63"/>
      <x:c r="J211" s="63"/>
      <x:c r="K211" s="63"/>
      <x:c r="L211" s="63"/>
      <x:c r="M211" s="63"/>
      <x:c r="N211" s="63"/>
      <x:c r="O211" s="63"/>
      <x:c r="P211" s="63"/>
      <x:c r="Q211" s="63"/>
      <x:c r="R211" s="63"/>
    </x:row>
    <x:row r="212">
      <x:c r="A212" s="63"/>
      <x:c r="B212" s="63"/>
      <x:c r="C212" s="63"/>
      <x:c r="D212" s="63"/>
      <x:c r="E212" s="63"/>
      <x:c r="F212" s="63"/>
      <x:c r="G212" s="63"/>
      <x:c r="H212" s="63"/>
      <x:c r="I212" s="63"/>
      <x:c r="J212" s="63"/>
      <x:c r="K212" s="63"/>
      <x:c r="L212" s="63"/>
      <x:c r="M212" s="63"/>
      <x:c r="N212" s="63"/>
      <x:c r="O212" s="63"/>
      <x:c r="P212" s="63"/>
      <x:c r="Q212" s="63"/>
      <x:c r="R212" s="63"/>
    </x:row>
    <x:row r="213">
      <x:c r="A213" s="63"/>
      <x:c r="B213" s="63"/>
      <x:c r="C213" s="63"/>
      <x:c r="D213" s="63"/>
      <x:c r="E213" s="63"/>
      <x:c r="F213" s="63"/>
      <x:c r="G213" s="63"/>
      <x:c r="H213" s="63"/>
      <x:c r="I213" s="63"/>
      <x:c r="J213" s="63"/>
      <x:c r="K213" s="63"/>
      <x:c r="L213" s="63"/>
      <x:c r="M213" s="63"/>
      <x:c r="N213" s="63"/>
      <x:c r="O213" s="63"/>
      <x:c r="P213" s="63"/>
      <x:c r="Q213" s="63"/>
      <x:c r="R213" s="63"/>
    </x:row>
    <x:row r="214">
      <x:c r="A214" s="63"/>
      <x:c r="B214" s="63"/>
      <x:c r="C214" s="63"/>
      <x:c r="D214" s="63"/>
      <x:c r="E214" s="63"/>
      <x:c r="F214" s="63"/>
      <x:c r="G214" s="63"/>
      <x:c r="H214" s="63"/>
      <x:c r="I214" s="63"/>
      <x:c r="J214" s="63"/>
      <x:c r="K214" s="63"/>
      <x:c r="L214" s="63"/>
      <x:c r="M214" s="63"/>
      <x:c r="N214" s="63"/>
      <x:c r="O214" s="63"/>
      <x:c r="P214" s="63"/>
      <x:c r="Q214" s="63"/>
      <x:c r="R214" s="63"/>
    </x:row>
    <x:row r="215">
      <x:c r="A215" s="63"/>
      <x:c r="B215" s="63"/>
      <x:c r="C215" s="63"/>
      <x:c r="D215" s="63"/>
      <x:c r="E215" s="63"/>
      <x:c r="F215" s="63"/>
      <x:c r="G215" s="63"/>
      <x:c r="H215" s="63"/>
      <x:c r="I215" s="63"/>
      <x:c r="J215" s="63"/>
      <x:c r="K215" s="63"/>
      <x:c r="L215" s="63"/>
      <x:c r="M215" s="63"/>
      <x:c r="N215" s="63"/>
      <x:c r="O215" s="63"/>
      <x:c r="P215" s="63"/>
      <x:c r="Q215" s="63"/>
      <x:c r="R215" s="63"/>
    </x:row>
    <x:row r="216">
      <x:c r="A216" s="63"/>
      <x:c r="B216" s="63"/>
      <x:c r="C216" s="63"/>
      <x:c r="D216" s="63"/>
      <x:c r="E216" s="63"/>
      <x:c r="F216" s="63"/>
      <x:c r="G216" s="63"/>
      <x:c r="H216" s="63"/>
      <x:c r="I216" s="63"/>
      <x:c r="J216" s="63"/>
      <x:c r="K216" s="63"/>
      <x:c r="L216" s="63"/>
      <x:c r="M216" s="63"/>
      <x:c r="N216" s="63"/>
      <x:c r="O216" s="63"/>
      <x:c r="P216" s="63"/>
      <x:c r="Q216" s="63"/>
      <x:c r="R216" s="63"/>
    </x:row>
    <x:row r="217">
      <x:c r="A217" s="63"/>
      <x:c r="B217" s="63"/>
      <x:c r="C217" s="63"/>
      <x:c r="D217" s="63"/>
      <x:c r="E217" s="63"/>
      <x:c r="F217" s="63"/>
      <x:c r="G217" s="63"/>
      <x:c r="H217" s="63"/>
      <x:c r="I217" s="63"/>
      <x:c r="J217" s="63"/>
      <x:c r="K217" s="63"/>
      <x:c r="L217" s="63"/>
      <x:c r="M217" s="63"/>
      <x:c r="N217" s="63"/>
      <x:c r="O217" s="63"/>
      <x:c r="P217" s="63"/>
      <x:c r="Q217" s="63"/>
      <x:c r="R217" s="63"/>
    </x:row>
    <x:row r="218">
      <x:c r="A218" s="63"/>
      <x:c r="B218" s="63"/>
      <x:c r="C218" s="63"/>
      <x:c r="D218" s="63"/>
      <x:c r="E218" s="63"/>
      <x:c r="F218" s="63"/>
      <x:c r="G218" s="63"/>
      <x:c r="H218" s="63"/>
      <x:c r="I218" s="63"/>
      <x:c r="J218" s="63"/>
      <x:c r="K218" s="63"/>
      <x:c r="L218" s="63"/>
      <x:c r="M218" s="63"/>
      <x:c r="N218" s="63"/>
      <x:c r="O218" s="63"/>
      <x:c r="P218" s="63"/>
      <x:c r="Q218" s="63"/>
      <x:c r="R218" s="63"/>
    </x:row>
    <x:row r="219">
      <x:c r="A219" s="63"/>
      <x:c r="B219" s="63"/>
      <x:c r="C219" s="63"/>
      <x:c r="D219" s="63"/>
      <x:c r="E219" s="63"/>
      <x:c r="F219" s="63"/>
      <x:c r="G219" s="63"/>
      <x:c r="H219" s="63"/>
      <x:c r="I219" s="63"/>
      <x:c r="J219" s="63"/>
      <x:c r="K219" s="63"/>
      <x:c r="L219" s="63"/>
      <x:c r="M219" s="63"/>
      <x:c r="N219" s="63"/>
      <x:c r="O219" s="63"/>
      <x:c r="P219" s="63"/>
      <x:c r="Q219" s="63"/>
      <x:c r="R219" s="63"/>
    </x:row>
    <x:row r="220">
      <x:c r="A220" s="63"/>
      <x:c r="B220" s="63"/>
      <x:c r="C220" s="63"/>
      <x:c r="D220" s="63"/>
      <x:c r="E220" s="63"/>
      <x:c r="F220" s="63"/>
      <x:c r="G220" s="63"/>
      <x:c r="H220" s="63"/>
      <x:c r="I220" s="63"/>
      <x:c r="J220" s="63"/>
      <x:c r="K220" s="63"/>
      <x:c r="L220" s="63"/>
      <x:c r="M220" s="63"/>
      <x:c r="N220" s="63"/>
      <x:c r="O220" s="63"/>
      <x:c r="P220" s="63"/>
      <x:c r="Q220" s="63"/>
      <x:c r="R220" s="63"/>
    </x:row>
    <x:row r="221">
      <x:c r="A221" s="63"/>
      <x:c r="B221" s="63"/>
      <x:c r="C221" s="63"/>
      <x:c r="D221" s="63"/>
      <x:c r="E221" s="63"/>
      <x:c r="F221" s="63"/>
      <x:c r="G221" s="63"/>
      <x:c r="H221" s="63"/>
      <x:c r="I221" s="63"/>
      <x:c r="J221" s="63"/>
      <x:c r="K221" s="63"/>
      <x:c r="L221" s="63"/>
      <x:c r="M221" s="63"/>
      <x:c r="N221" s="63"/>
      <x:c r="O221" s="63"/>
      <x:c r="P221" s="63"/>
      <x:c r="Q221" s="63"/>
      <x:c r="R221" s="63"/>
    </x:row>
    <x:row r="222">
      <x:c r="A222" s="63"/>
      <x:c r="B222" s="63"/>
      <x:c r="C222" s="63"/>
      <x:c r="D222" s="63"/>
      <x:c r="E222" s="63"/>
      <x:c r="F222" s="63"/>
      <x:c r="G222" s="63"/>
      <x:c r="H222" s="63"/>
      <x:c r="I222" s="63"/>
      <x:c r="J222" s="63"/>
      <x:c r="K222" s="63"/>
      <x:c r="L222" s="63"/>
      <x:c r="M222" s="63"/>
      <x:c r="N222" s="63"/>
      <x:c r="O222" s="63"/>
      <x:c r="P222" s="63"/>
      <x:c r="Q222" s="63"/>
      <x:c r="R222" s="63"/>
    </x:row>
    <x:row r="223">
      <x:c r="A223" s="63"/>
      <x:c r="B223" s="63"/>
      <x:c r="C223" s="63"/>
      <x:c r="D223" s="63"/>
      <x:c r="E223" s="63"/>
      <x:c r="F223" s="63"/>
      <x:c r="G223" s="63"/>
      <x:c r="H223" s="63"/>
      <x:c r="I223" s="63"/>
      <x:c r="J223" s="63"/>
      <x:c r="K223" s="63"/>
      <x:c r="L223" s="63"/>
      <x:c r="M223" s="63"/>
      <x:c r="N223" s="63"/>
      <x:c r="O223" s="63"/>
      <x:c r="P223" s="63"/>
      <x:c r="Q223" s="63"/>
      <x:c r="R223" s="63"/>
    </x:row>
    <x:row r="224">
      <x:c r="A224" s="63"/>
      <x:c r="B224" s="63"/>
      <x:c r="C224" s="63"/>
      <x:c r="D224" s="63"/>
      <x:c r="E224" s="63"/>
      <x:c r="F224" s="63"/>
      <x:c r="G224" s="63"/>
      <x:c r="H224" s="63"/>
      <x:c r="I224" s="63"/>
      <x:c r="J224" s="63"/>
      <x:c r="K224" s="63"/>
      <x:c r="L224" s="63"/>
      <x:c r="M224" s="63"/>
      <x:c r="N224" s="63"/>
      <x:c r="O224" s="63"/>
      <x:c r="P224" s="63"/>
      <x:c r="Q224" s="63"/>
      <x:c r="R224" s="63"/>
    </x:row>
    <x:row r="225">
      <x:c r="A225" s="63"/>
      <x:c r="B225" s="63"/>
      <x:c r="C225" s="63"/>
      <x:c r="D225" s="63"/>
      <x:c r="E225" s="63"/>
      <x:c r="F225" s="63"/>
      <x:c r="G225" s="63"/>
      <x:c r="H225" s="63"/>
      <x:c r="I225" s="63"/>
      <x:c r="J225" s="63"/>
      <x:c r="K225" s="63"/>
      <x:c r="L225" s="63"/>
      <x:c r="M225" s="63"/>
      <x:c r="N225" s="63"/>
      <x:c r="O225" s="63"/>
      <x:c r="P225" s="63"/>
      <x:c r="Q225" s="63"/>
      <x:c r="R225" s="63"/>
    </x:row>
    <x:row r="226">
      <x:c r="A226" s="63"/>
      <x:c r="B226" s="63"/>
      <x:c r="C226" s="63"/>
      <x:c r="D226" s="63"/>
      <x:c r="E226" s="63"/>
      <x:c r="F226" s="63"/>
      <x:c r="G226" s="63"/>
      <x:c r="H226" s="63"/>
      <x:c r="I226" s="63"/>
      <x:c r="J226" s="63"/>
      <x:c r="K226" s="63"/>
      <x:c r="L226" s="63"/>
      <x:c r="M226" s="63"/>
      <x:c r="N226" s="63"/>
      <x:c r="O226" s="63"/>
      <x:c r="P226" s="63"/>
      <x:c r="Q226" s="63"/>
      <x:c r="R226" s="63"/>
    </x:row>
    <x:row r="227">
      <x:c r="A227" s="63"/>
      <x:c r="B227" s="63"/>
      <x:c r="C227" s="63"/>
      <x:c r="D227" s="63"/>
      <x:c r="E227" s="63"/>
      <x:c r="F227" s="63"/>
      <x:c r="G227" s="63"/>
      <x:c r="H227" s="63"/>
      <x:c r="I227" s="63"/>
      <x:c r="J227" s="63"/>
      <x:c r="K227" s="63"/>
      <x:c r="L227" s="63"/>
      <x:c r="M227" s="63"/>
      <x:c r="N227" s="63"/>
      <x:c r="O227" s="63"/>
      <x:c r="P227" s="63"/>
      <x:c r="Q227" s="63"/>
      <x:c r="R227" s="63"/>
    </x:row>
    <x:row r="228">
      <x:c r="A228" s="63"/>
      <x:c r="B228" s="63"/>
      <x:c r="C228" s="63"/>
      <x:c r="D228" s="63"/>
      <x:c r="E228" s="63"/>
      <x:c r="F228" s="63"/>
      <x:c r="G228" s="63"/>
      <x:c r="H228" s="63"/>
      <x:c r="I228" s="63"/>
      <x:c r="J228" s="63"/>
      <x:c r="K228" s="63"/>
      <x:c r="L228" s="63"/>
      <x:c r="M228" s="63"/>
      <x:c r="N228" s="63"/>
      <x:c r="O228" s="63"/>
      <x:c r="P228" s="63"/>
      <x:c r="Q228" s="63"/>
      <x:c r="R228" s="63"/>
    </x:row>
    <x:row r="229">
      <x:c r="A229" s="63"/>
      <x:c r="B229" s="63"/>
      <x:c r="C229" s="63"/>
      <x:c r="D229" s="63"/>
      <x:c r="E229" s="63"/>
      <x:c r="F229" s="63"/>
      <x:c r="G229" s="63"/>
      <x:c r="H229" s="63"/>
      <x:c r="I229" s="63"/>
      <x:c r="J229" s="63"/>
      <x:c r="K229" s="63"/>
      <x:c r="L229" s="63"/>
      <x:c r="M229" s="63"/>
      <x:c r="N229" s="63"/>
      <x:c r="O229" s="63"/>
      <x:c r="P229" s="63"/>
      <x:c r="Q229" s="63"/>
      <x:c r="R229" s="63"/>
    </x:row>
    <x:row r="230">
      <x:c r="A230" s="63"/>
      <x:c r="B230" s="63"/>
      <x:c r="C230" s="63"/>
      <x:c r="D230" s="63"/>
      <x:c r="E230" s="63"/>
      <x:c r="F230" s="63"/>
      <x:c r="G230" s="63"/>
      <x:c r="H230" s="63"/>
      <x:c r="I230" s="63"/>
      <x:c r="J230" s="63"/>
      <x:c r="K230" s="63"/>
      <x:c r="L230" s="63"/>
      <x:c r="M230" s="63"/>
      <x:c r="N230" s="63"/>
      <x:c r="O230" s="63"/>
      <x:c r="P230" s="63"/>
      <x:c r="Q230" s="63"/>
      <x:c r="R230" s="63"/>
    </x:row>
    <x:row r="231">
      <x:c r="A231" s="63"/>
      <x:c r="B231" s="63"/>
      <x:c r="C231" s="63"/>
      <x:c r="D231" s="63"/>
      <x:c r="E231" s="63"/>
      <x:c r="F231" s="63"/>
      <x:c r="G231" s="63"/>
      <x:c r="H231" s="63"/>
      <x:c r="I231" s="63"/>
      <x:c r="J231" s="63"/>
      <x:c r="K231" s="63"/>
      <x:c r="L231" s="63"/>
      <x:c r="M231" s="63"/>
      <x:c r="N231" s="63"/>
      <x:c r="O231" s="63"/>
      <x:c r="P231" s="63"/>
      <x:c r="Q231" s="63"/>
      <x:c r="R231" s="63"/>
    </x:row>
    <x:row r="232">
      <x:c r="A232" s="63"/>
      <x:c r="B232" s="63"/>
      <x:c r="C232" s="63"/>
      <x:c r="D232" s="63"/>
      <x:c r="E232" s="63"/>
      <x:c r="F232" s="63"/>
      <x:c r="G232" s="63"/>
      <x:c r="H232" s="63"/>
      <x:c r="I232" s="63"/>
      <x:c r="J232" s="63"/>
      <x:c r="K232" s="63"/>
      <x:c r="L232" s="63"/>
      <x:c r="M232" s="63"/>
      <x:c r="N232" s="63"/>
      <x:c r="O232" s="63"/>
      <x:c r="P232" s="63"/>
      <x:c r="Q232" s="63"/>
      <x:c r="R232" s="63"/>
    </x:row>
    <x:row r="233">
      <x:c r="A233" s="63"/>
      <x:c r="B233" s="63"/>
      <x:c r="C233" s="63"/>
      <x:c r="D233" s="63"/>
      <x:c r="E233" s="63"/>
      <x:c r="F233" s="63"/>
      <x:c r="G233" s="63"/>
      <x:c r="H233" s="63"/>
      <x:c r="I233" s="63"/>
      <x:c r="J233" s="63"/>
      <x:c r="K233" s="63"/>
      <x:c r="L233" s="63"/>
      <x:c r="M233" s="63"/>
      <x:c r="N233" s="63"/>
      <x:c r="O233" s="63"/>
      <x:c r="P233" s="63"/>
      <x:c r="Q233" s="63"/>
      <x:c r="R233" s="63"/>
    </x:row>
    <x:row r="234">
      <x:c r="A234" s="63"/>
      <x:c r="B234" s="63"/>
      <x:c r="C234" s="63"/>
      <x:c r="D234" s="63"/>
      <x:c r="E234" s="63"/>
      <x:c r="F234" s="63"/>
      <x:c r="G234" s="63"/>
      <x:c r="H234" s="63"/>
      <x:c r="I234" s="63"/>
      <x:c r="J234" s="63"/>
      <x:c r="K234" s="63"/>
      <x:c r="L234" s="63"/>
      <x:c r="M234" s="63"/>
      <x:c r="N234" s="63"/>
      <x:c r="O234" s="63"/>
      <x:c r="P234" s="63"/>
      <x:c r="Q234" s="63"/>
      <x:c r="R234" s="63"/>
    </x:row>
    <x:row r="235">
      <x:c r="A235" s="63"/>
      <x:c r="B235" s="63"/>
      <x:c r="C235" s="63"/>
      <x:c r="D235" s="63"/>
      <x:c r="E235" s="63"/>
      <x:c r="F235" s="63"/>
      <x:c r="G235" s="63"/>
      <x:c r="H235" s="63"/>
      <x:c r="I235" s="63"/>
      <x:c r="J235" s="63"/>
      <x:c r="K235" s="63"/>
      <x:c r="L235" s="63"/>
      <x:c r="M235" s="63"/>
      <x:c r="N235" s="63"/>
      <x:c r="O235" s="63"/>
      <x:c r="P235" s="63"/>
      <x:c r="Q235" s="63"/>
      <x:c r="R235" s="63"/>
    </x:row>
    <x:row r="236">
      <x:c r="A236" s="63"/>
      <x:c r="B236" s="63"/>
      <x:c r="C236" s="63"/>
      <x:c r="D236" s="63"/>
      <x:c r="E236" s="63"/>
      <x:c r="F236" s="63"/>
      <x:c r="G236" s="63"/>
      <x:c r="H236" s="63"/>
      <x:c r="I236" s="63"/>
      <x:c r="J236" s="63"/>
      <x:c r="K236" s="63"/>
      <x:c r="L236" s="63"/>
      <x:c r="M236" s="63"/>
      <x:c r="N236" s="63"/>
      <x:c r="O236" s="63"/>
      <x:c r="P236" s="63"/>
      <x:c r="Q236" s="63"/>
      <x:c r="R236" s="63"/>
    </x:row>
    <x:row r="237">
      <x:c r="A237" s="63"/>
      <x:c r="B237" s="63"/>
      <x:c r="C237" s="63"/>
      <x:c r="D237" s="63"/>
      <x:c r="E237" s="63"/>
      <x:c r="F237" s="63"/>
      <x:c r="G237" s="63"/>
      <x:c r="H237" s="63"/>
      <x:c r="I237" s="63"/>
      <x:c r="J237" s="63"/>
      <x:c r="K237" s="63"/>
      <x:c r="L237" s="63"/>
      <x:c r="M237" s="63"/>
      <x:c r="N237" s="63"/>
      <x:c r="O237" s="63"/>
      <x:c r="P237" s="63"/>
      <x:c r="Q237" s="63"/>
      <x:c r="R237" s="63"/>
    </x:row>
    <x:row r="238">
      <x:c r="A238" s="63"/>
      <x:c r="B238" s="63"/>
      <x:c r="C238" s="63"/>
      <x:c r="D238" s="63"/>
      <x:c r="E238" s="63"/>
      <x:c r="F238" s="63"/>
      <x:c r="G238" s="63"/>
      <x:c r="H238" s="63"/>
      <x:c r="I238" s="63"/>
      <x:c r="J238" s="63"/>
      <x:c r="K238" s="63"/>
      <x:c r="L238" s="63"/>
      <x:c r="M238" s="63"/>
      <x:c r="N238" s="63"/>
      <x:c r="O238" s="63"/>
      <x:c r="P238" s="63"/>
      <x:c r="Q238" s="63"/>
      <x:c r="R238" s="63"/>
    </x:row>
    <x:row r="239">
      <x:c r="A239" s="63"/>
      <x:c r="B239" s="63"/>
      <x:c r="C239" s="63"/>
      <x:c r="D239" s="63"/>
      <x:c r="E239" s="63"/>
      <x:c r="F239" s="63"/>
      <x:c r="G239" s="63"/>
      <x:c r="H239" s="63"/>
      <x:c r="I239" s="63"/>
      <x:c r="J239" s="63"/>
      <x:c r="K239" s="63"/>
      <x:c r="L239" s="63"/>
      <x:c r="M239" s="63"/>
      <x:c r="N239" s="63"/>
      <x:c r="O239" s="63"/>
      <x:c r="P239" s="63"/>
      <x:c r="Q239" s="63"/>
      <x:c r="R239" s="63"/>
    </x:row>
    <x:row r="240">
      <x:c r="A240" s="63"/>
      <x:c r="B240" s="63"/>
      <x:c r="C240" s="63"/>
      <x:c r="D240" s="63"/>
      <x:c r="E240" s="63"/>
      <x:c r="F240" s="63"/>
      <x:c r="G240" s="63"/>
      <x:c r="H240" s="63"/>
      <x:c r="I240" s="63"/>
      <x:c r="J240" s="63"/>
      <x:c r="K240" s="63"/>
      <x:c r="L240" s="63"/>
      <x:c r="M240" s="63"/>
      <x:c r="N240" s="63"/>
      <x:c r="O240" s="63"/>
      <x:c r="P240" s="63"/>
      <x:c r="Q240" s="63"/>
      <x:c r="R240" s="63"/>
    </x:row>
    <x:row r="241">
      <x:c r="A241" s="63"/>
      <x:c r="B241" s="63"/>
      <x:c r="C241" s="63"/>
      <x:c r="D241" s="63"/>
      <x:c r="E241" s="63"/>
      <x:c r="F241" s="63"/>
      <x:c r="G241" s="63"/>
      <x:c r="H241" s="63"/>
      <x:c r="I241" s="63"/>
      <x:c r="J241" s="63"/>
      <x:c r="K241" s="63"/>
      <x:c r="L241" s="63"/>
      <x:c r="M241" s="63"/>
      <x:c r="N241" s="63"/>
      <x:c r="O241" s="63"/>
      <x:c r="P241" s="63"/>
      <x:c r="Q241" s="63"/>
      <x:c r="R241" s="63"/>
    </x:row>
    <x:row r="242">
      <x:c r="A242" s="63"/>
      <x:c r="B242" s="63"/>
      <x:c r="C242" s="63"/>
      <x:c r="D242" s="63"/>
      <x:c r="E242" s="63"/>
      <x:c r="F242" s="63"/>
      <x:c r="G242" s="63"/>
      <x:c r="H242" s="63"/>
      <x:c r="I242" s="63"/>
      <x:c r="J242" s="63"/>
      <x:c r="K242" s="63"/>
      <x:c r="L242" s="63"/>
      <x:c r="M242" s="63"/>
      <x:c r="N242" s="63"/>
      <x:c r="O242" s="63"/>
      <x:c r="P242" s="63"/>
      <x:c r="Q242" s="63"/>
      <x:c r="R242" s="63"/>
    </x:row>
    <x:row r="243">
      <x:c r="A243" s="63"/>
      <x:c r="B243" s="63"/>
      <x:c r="C243" s="63"/>
      <x:c r="D243" s="63"/>
      <x:c r="E243" s="63"/>
      <x:c r="F243" s="63"/>
      <x:c r="G243" s="63"/>
      <x:c r="H243" s="63"/>
      <x:c r="I243" s="63"/>
      <x:c r="J243" s="63"/>
      <x:c r="K243" s="63"/>
      <x:c r="L243" s="63"/>
      <x:c r="M243" s="63"/>
      <x:c r="N243" s="63"/>
      <x:c r="O243" s="63"/>
      <x:c r="P243" s="63"/>
      <x:c r="Q243" s="63"/>
      <x:c r="R243" s="63"/>
    </x:row>
    <x:row r="244">
      <x:c r="A244" s="63"/>
      <x:c r="B244" s="63"/>
      <x:c r="C244" s="63"/>
      <x:c r="D244" s="63"/>
      <x:c r="E244" s="63"/>
      <x:c r="F244" s="63"/>
      <x:c r="G244" s="63"/>
      <x:c r="H244" s="63"/>
      <x:c r="I244" s="63"/>
      <x:c r="J244" s="63"/>
      <x:c r="K244" s="63"/>
      <x:c r="L244" s="63"/>
      <x:c r="M244" s="63"/>
      <x:c r="N244" s="63"/>
      <x:c r="O244" s="63"/>
      <x:c r="P244" s="63"/>
      <x:c r="Q244" s="63"/>
      <x:c r="R244" s="63"/>
    </x:row>
    <x:row r="245">
      <x:c r="A245" s="63"/>
      <x:c r="B245" s="63"/>
      <x:c r="C245" s="63"/>
      <x:c r="D245" s="63"/>
      <x:c r="E245" s="63"/>
      <x:c r="F245" s="63"/>
      <x:c r="G245" s="63"/>
      <x:c r="H245" s="63"/>
      <x:c r="I245" s="63"/>
      <x:c r="J245" s="63"/>
      <x:c r="K245" s="63"/>
      <x:c r="L245" s="63"/>
      <x:c r="M245" s="63"/>
      <x:c r="N245" s="63"/>
      <x:c r="O245" s="63"/>
      <x:c r="P245" s="63"/>
      <x:c r="Q245" s="63"/>
      <x:c r="R245" s="63"/>
    </x:row>
    <x:row r="246">
      <x:c r="A246" s="63"/>
      <x:c r="B246" s="63"/>
      <x:c r="C246" s="63"/>
      <x:c r="D246" s="63"/>
      <x:c r="E246" s="63"/>
      <x:c r="F246" s="63"/>
      <x:c r="G246" s="63"/>
      <x:c r="H246" s="63"/>
      <x:c r="I246" s="63"/>
      <x:c r="J246" s="63"/>
      <x:c r="K246" s="63"/>
      <x:c r="L246" s="63"/>
      <x:c r="M246" s="63"/>
      <x:c r="N246" s="63"/>
      <x:c r="O246" s="63"/>
      <x:c r="P246" s="63"/>
      <x:c r="Q246" s="63"/>
      <x:c r="R246" s="63"/>
    </x:row>
    <x:row r="247">
      <x:c r="A247" s="63"/>
      <x:c r="B247" s="63"/>
      <x:c r="C247" s="63"/>
      <x:c r="D247" s="63"/>
      <x:c r="E247" s="63"/>
      <x:c r="F247" s="63"/>
      <x:c r="G247" s="63"/>
      <x:c r="H247" s="63"/>
      <x:c r="I247" s="63"/>
      <x:c r="J247" s="63"/>
      <x:c r="K247" s="63"/>
      <x:c r="L247" s="63"/>
      <x:c r="M247" s="63"/>
      <x:c r="N247" s="63"/>
      <x:c r="O247" s="63"/>
      <x:c r="P247" s="63"/>
      <x:c r="Q247" s="63"/>
      <x:c r="R247" s="63"/>
    </x:row>
    <x:row r="248">
      <x:c r="A248" s="63"/>
      <x:c r="B248" s="63"/>
      <x:c r="C248" s="63"/>
      <x:c r="D248" s="63"/>
      <x:c r="E248" s="63"/>
      <x:c r="F248" s="63"/>
      <x:c r="G248" s="63"/>
      <x:c r="H248" s="63"/>
      <x:c r="I248" s="63"/>
      <x:c r="J248" s="63"/>
      <x:c r="K248" s="63"/>
      <x:c r="L248" s="63"/>
      <x:c r="M248" s="63"/>
      <x:c r="N248" s="63"/>
      <x:c r="O248" s="63"/>
      <x:c r="P248" s="63"/>
      <x:c r="Q248" s="63"/>
      <x:c r="R248" s="63"/>
    </x:row>
    <x:row r="249">
      <x:c r="A249" s="63"/>
      <x:c r="B249" s="63"/>
      <x:c r="C249" s="63"/>
      <x:c r="D249" s="63"/>
      <x:c r="E249" s="63"/>
      <x:c r="F249" s="63"/>
      <x:c r="G249" s="63"/>
      <x:c r="H249" s="63"/>
      <x:c r="I249" s="63"/>
      <x:c r="J249" s="63"/>
      <x:c r="K249" s="63"/>
      <x:c r="L249" s="63"/>
      <x:c r="M249" s="63"/>
      <x:c r="N249" s="63"/>
      <x:c r="O249" s="63"/>
      <x:c r="P249" s="63"/>
      <x:c r="Q249" s="63"/>
      <x:c r="R249" s="63"/>
    </x:row>
    <x:row r="250">
      <x:c r="A250" s="63"/>
      <x:c r="B250" s="63"/>
      <x:c r="C250" s="63"/>
      <x:c r="D250" s="63"/>
      <x:c r="E250" s="63"/>
      <x:c r="F250" s="63"/>
      <x:c r="G250" s="63"/>
      <x:c r="H250" s="63"/>
      <x:c r="I250" s="63"/>
      <x:c r="J250" s="63"/>
      <x:c r="K250" s="63"/>
      <x:c r="L250" s="63"/>
      <x:c r="M250" s="63"/>
      <x:c r="N250" s="63"/>
      <x:c r="O250" s="63"/>
      <x:c r="P250" s="63"/>
      <x:c r="Q250" s="63"/>
      <x:c r="R250" s="63"/>
    </x:row>
    <x:row r="251">
      <x:c r="A251" s="63"/>
      <x:c r="B251" s="63"/>
      <x:c r="C251" s="63"/>
      <x:c r="D251" s="63"/>
      <x:c r="E251" s="63"/>
      <x:c r="F251" s="63"/>
      <x:c r="G251" s="63"/>
      <x:c r="H251" s="63"/>
      <x:c r="I251" s="63"/>
      <x:c r="J251" s="63"/>
      <x:c r="K251" s="63"/>
      <x:c r="L251" s="63"/>
      <x:c r="M251" s="63"/>
      <x:c r="N251" s="63"/>
      <x:c r="O251" s="63"/>
      <x:c r="P251" s="63"/>
      <x:c r="Q251" s="63"/>
      <x:c r="R251" s="63"/>
    </x:row>
    <x:row r="252">
      <x:c r="A252" s="63"/>
      <x:c r="B252" s="63"/>
      <x:c r="C252" s="63"/>
      <x:c r="D252" s="63"/>
      <x:c r="E252" s="63"/>
      <x:c r="F252" s="63"/>
      <x:c r="G252" s="63"/>
      <x:c r="H252" s="63"/>
      <x:c r="I252" s="63"/>
      <x:c r="J252" s="63"/>
      <x:c r="K252" s="63"/>
      <x:c r="L252" s="63"/>
      <x:c r="M252" s="63"/>
      <x:c r="N252" s="63"/>
      <x:c r="O252" s="63"/>
      <x:c r="P252" s="63"/>
      <x:c r="Q252" s="63"/>
      <x:c r="R252" s="63"/>
    </x:row>
    <x:row r="253">
      <x:c r="A253" s="63"/>
      <x:c r="B253" s="63"/>
      <x:c r="C253" s="63"/>
      <x:c r="D253" s="63"/>
      <x:c r="E253" s="63"/>
      <x:c r="F253" s="63"/>
      <x:c r="G253" s="63"/>
      <x:c r="H253" s="63"/>
      <x:c r="I253" s="63"/>
      <x:c r="J253" s="63"/>
      <x:c r="K253" s="63"/>
      <x:c r="L253" s="63"/>
      <x:c r="M253" s="63"/>
      <x:c r="N253" s="63"/>
      <x:c r="O253" s="63"/>
      <x:c r="P253" s="63"/>
      <x:c r="Q253" s="63"/>
      <x:c r="R253" s="63"/>
    </x:row>
    <x:row r="254">
      <x:c r="A254" s="63"/>
      <x:c r="B254" s="63"/>
      <x:c r="C254" s="63"/>
      <x:c r="D254" s="63"/>
      <x:c r="E254" s="63"/>
      <x:c r="F254" s="63"/>
      <x:c r="G254" s="63"/>
      <x:c r="H254" s="63"/>
      <x:c r="I254" s="63"/>
      <x:c r="J254" s="63"/>
      <x:c r="K254" s="63"/>
      <x:c r="L254" s="63"/>
      <x:c r="M254" s="63"/>
      <x:c r="N254" s="63"/>
      <x:c r="O254" s="63"/>
      <x:c r="P254" s="63"/>
      <x:c r="Q254" s="63"/>
      <x:c r="R254" s="63"/>
    </x:row>
    <x:row r="255">
      <x:c r="A255" s="63"/>
      <x:c r="B255" s="63"/>
      <x:c r="C255" s="63"/>
      <x:c r="D255" s="63"/>
      <x:c r="E255" s="63"/>
      <x:c r="F255" s="63"/>
      <x:c r="G255" s="63"/>
      <x:c r="H255" s="63"/>
      <x:c r="I255" s="63"/>
      <x:c r="J255" s="63"/>
      <x:c r="K255" s="63"/>
      <x:c r="L255" s="63"/>
      <x:c r="M255" s="63"/>
      <x:c r="N255" s="63"/>
      <x:c r="O255" s="63"/>
      <x:c r="P255" s="63"/>
      <x:c r="Q255" s="63"/>
      <x:c r="R255" s="63"/>
    </x:row>
    <x:row r="256">
      <x:c r="A256" s="63"/>
      <x:c r="B256" s="63"/>
      <x:c r="C256" s="63"/>
      <x:c r="D256" s="63"/>
      <x:c r="E256" s="63"/>
      <x:c r="F256" s="63"/>
      <x:c r="G256" s="63"/>
      <x:c r="H256" s="63"/>
      <x:c r="I256" s="63"/>
      <x:c r="J256" s="63"/>
      <x:c r="K256" s="63"/>
      <x:c r="L256" s="63"/>
      <x:c r="M256" s="63"/>
      <x:c r="N256" s="63"/>
      <x:c r="O256" s="63"/>
      <x:c r="P256" s="63"/>
      <x:c r="Q256" s="63"/>
      <x:c r="R256" s="63"/>
    </x:row>
    <x:row r="257">
      <x:c r="A257" s="63"/>
      <x:c r="B257" s="63"/>
      <x:c r="C257" s="63"/>
      <x:c r="D257" s="63"/>
      <x:c r="E257" s="63"/>
      <x:c r="F257" s="63"/>
      <x:c r="G257" s="63"/>
      <x:c r="H257" s="63"/>
      <x:c r="I257" s="63"/>
      <x:c r="J257" s="63"/>
      <x:c r="K257" s="63"/>
      <x:c r="L257" s="63"/>
      <x:c r="M257" s="63"/>
      <x:c r="N257" s="63"/>
      <x:c r="O257" s="63"/>
      <x:c r="P257" s="63"/>
      <x:c r="Q257" s="63"/>
      <x:c r="R257" s="63"/>
    </x:row>
    <x:row r="258">
      <x:c r="A258" s="63"/>
      <x:c r="B258" s="63"/>
      <x:c r="C258" s="63"/>
      <x:c r="D258" s="63"/>
      <x:c r="E258" s="63"/>
      <x:c r="F258" s="63"/>
      <x:c r="G258" s="63"/>
      <x:c r="H258" s="63"/>
      <x:c r="I258" s="63"/>
      <x:c r="J258" s="63"/>
      <x:c r="K258" s="63"/>
      <x:c r="L258" s="63"/>
      <x:c r="M258" s="63"/>
      <x:c r="N258" s="63"/>
      <x:c r="O258" s="63"/>
      <x:c r="P258" s="63"/>
      <x:c r="Q258" s="63"/>
      <x:c r="R258" s="63"/>
    </x:row>
    <x:row r="259">
      <x:c r="A259" s="63"/>
      <x:c r="B259" s="63"/>
      <x:c r="C259" s="63"/>
      <x:c r="D259" s="63"/>
      <x:c r="E259" s="63"/>
      <x:c r="F259" s="63"/>
      <x:c r="G259" s="63"/>
      <x:c r="H259" s="63"/>
      <x:c r="I259" s="63"/>
      <x:c r="J259" s="63"/>
      <x:c r="K259" s="63"/>
      <x:c r="L259" s="63"/>
      <x:c r="M259" s="63"/>
      <x:c r="N259" s="63"/>
      <x:c r="O259" s="63"/>
      <x:c r="P259" s="63"/>
      <x:c r="Q259" s="63"/>
      <x:c r="R259" s="63"/>
    </x:row>
    <x:row r="260">
      <x:c r="A260" s="63"/>
      <x:c r="B260" s="63"/>
      <x:c r="C260" s="63"/>
      <x:c r="D260" s="63"/>
      <x:c r="E260" s="63"/>
      <x:c r="F260" s="63"/>
      <x:c r="G260" s="63"/>
      <x:c r="H260" s="63"/>
      <x:c r="I260" s="63"/>
      <x:c r="J260" s="63"/>
      <x:c r="K260" s="63"/>
      <x:c r="L260" s="63"/>
      <x:c r="M260" s="63"/>
      <x:c r="N260" s="63"/>
      <x:c r="O260" s="63"/>
      <x:c r="P260" s="63"/>
      <x:c r="Q260" s="63"/>
      <x:c r="R260" s="63"/>
    </x:row>
    <x:row r="261">
      <x:c r="A261" s="63"/>
      <x:c r="B261" s="63"/>
      <x:c r="C261" s="63"/>
      <x:c r="D261" s="63"/>
      <x:c r="E261" s="63"/>
      <x:c r="F261" s="63"/>
      <x:c r="G261" s="63"/>
      <x:c r="H261" s="63"/>
      <x:c r="I261" s="63"/>
      <x:c r="J261" s="63"/>
      <x:c r="K261" s="63"/>
      <x:c r="L261" s="63"/>
      <x:c r="M261" s="63"/>
      <x:c r="N261" s="63"/>
      <x:c r="O261" s="63"/>
      <x:c r="P261" s="63"/>
      <x:c r="Q261" s="63"/>
      <x:c r="R261" s="63"/>
    </x:row>
    <x:row r="262">
      <x:c r="A262" s="63"/>
      <x:c r="B262" s="63"/>
      <x:c r="C262" s="63"/>
      <x:c r="D262" s="63"/>
      <x:c r="E262" s="63"/>
      <x:c r="F262" s="63"/>
      <x:c r="G262" s="63"/>
      <x:c r="H262" s="63"/>
      <x:c r="I262" s="63"/>
      <x:c r="J262" s="63"/>
      <x:c r="K262" s="63"/>
      <x:c r="L262" s="63"/>
      <x:c r="M262" s="63"/>
      <x:c r="N262" s="63"/>
      <x:c r="O262" s="63"/>
      <x:c r="P262" s="63"/>
      <x:c r="Q262" s="63"/>
      <x:c r="R262" s="63"/>
    </x:row>
    <x:row r="263">
      <x:c r="A263" s="63"/>
      <x:c r="B263" s="63"/>
      <x:c r="C263" s="63"/>
      <x:c r="D263" s="63"/>
      <x:c r="E263" s="63"/>
      <x:c r="F263" s="63"/>
      <x:c r="G263" s="63"/>
      <x:c r="H263" s="63"/>
      <x:c r="I263" s="63"/>
      <x:c r="J263" s="63"/>
      <x:c r="K263" s="63"/>
      <x:c r="L263" s="63"/>
      <x:c r="M263" s="63"/>
      <x:c r="N263" s="63"/>
      <x:c r="O263" s="63"/>
      <x:c r="P263" s="63"/>
      <x:c r="Q263" s="63"/>
      <x:c r="R263" s="63"/>
    </x:row>
    <x:row r="264">
      <x:c r="A264" s="63"/>
      <x:c r="B264" s="63"/>
      <x:c r="C264" s="63"/>
      <x:c r="D264" s="63"/>
      <x:c r="E264" s="63"/>
      <x:c r="F264" s="63"/>
      <x:c r="G264" s="63"/>
      <x:c r="H264" s="63"/>
      <x:c r="I264" s="63"/>
      <x:c r="J264" s="63"/>
      <x:c r="K264" s="63"/>
      <x:c r="L264" s="63"/>
      <x:c r="M264" s="63"/>
      <x:c r="N264" s="63"/>
      <x:c r="O264" s="63"/>
      <x:c r="P264" s="63"/>
      <x:c r="Q264" s="63"/>
      <x:c r="R264" s="63"/>
    </x:row>
    <x:row r="265">
      <x:c r="A265" s="63"/>
      <x:c r="B265" s="63"/>
      <x:c r="C265" s="63"/>
      <x:c r="D265" s="63"/>
      <x:c r="E265" s="63"/>
      <x:c r="F265" s="63"/>
      <x:c r="G265" s="63"/>
      <x:c r="H265" s="63"/>
      <x:c r="I265" s="63"/>
      <x:c r="J265" s="63"/>
      <x:c r="K265" s="63"/>
      <x:c r="L265" s="63"/>
      <x:c r="M265" s="63"/>
      <x:c r="N265" s="63"/>
      <x:c r="O265" s="63"/>
      <x:c r="P265" s="63"/>
      <x:c r="Q265" s="63"/>
      <x:c r="R265" s="63"/>
    </x:row>
    <x:row r="266">
      <x:c r="A266" s="63"/>
      <x:c r="B266" s="63"/>
      <x:c r="C266" s="63"/>
      <x:c r="D266" s="63"/>
      <x:c r="E266" s="63"/>
      <x:c r="F266" s="63"/>
      <x:c r="G266" s="63"/>
      <x:c r="H266" s="63"/>
      <x:c r="I266" s="63"/>
      <x:c r="J266" s="63"/>
      <x:c r="K266" s="63"/>
      <x:c r="L266" s="63"/>
      <x:c r="M266" s="63"/>
      <x:c r="N266" s="63"/>
      <x:c r="O266" s="63"/>
      <x:c r="P266" s="63"/>
      <x:c r="Q266" s="63"/>
      <x:c r="R266" s="63"/>
    </x:row>
    <x:row r="267">
      <x:c r="A267" s="63"/>
      <x:c r="B267" s="63"/>
      <x:c r="C267" s="63"/>
      <x:c r="D267" s="63"/>
      <x:c r="E267" s="63"/>
      <x:c r="F267" s="63"/>
      <x:c r="G267" s="63"/>
      <x:c r="H267" s="63"/>
      <x:c r="I267" s="63"/>
      <x:c r="J267" s="63"/>
      <x:c r="K267" s="63"/>
      <x:c r="L267" s="63"/>
      <x:c r="M267" s="63"/>
      <x:c r="N267" s="63"/>
      <x:c r="O267" s="63"/>
      <x:c r="P267" s="63"/>
      <x:c r="Q267" s="63"/>
      <x:c r="R267" s="63"/>
    </x:row>
    <x:row r="268">
      <x:c r="A268" s="63"/>
      <x:c r="B268" s="63"/>
      <x:c r="C268" s="63"/>
      <x:c r="D268" s="63"/>
      <x:c r="E268" s="63"/>
      <x:c r="F268" s="63"/>
      <x:c r="G268" s="63"/>
      <x:c r="H268" s="63"/>
      <x:c r="I268" s="63"/>
      <x:c r="J268" s="63"/>
      <x:c r="K268" s="63"/>
      <x:c r="L268" s="63"/>
      <x:c r="M268" s="63"/>
      <x:c r="N268" s="63"/>
      <x:c r="O268" s="63"/>
      <x:c r="P268" s="63"/>
      <x:c r="Q268" s="63"/>
      <x:c r="R268" s="63"/>
    </x:row>
    <x:row r="269">
      <x:c r="A269" s="63"/>
      <x:c r="B269" s="63"/>
      <x:c r="C269" s="63"/>
      <x:c r="D269" s="63"/>
      <x:c r="E269" s="63"/>
      <x:c r="F269" s="63"/>
      <x:c r="G269" s="63"/>
      <x:c r="H269" s="63"/>
      <x:c r="I269" s="63"/>
      <x:c r="J269" s="63"/>
      <x:c r="K269" s="63"/>
      <x:c r="L269" s="63"/>
      <x:c r="M269" s="63"/>
      <x:c r="N269" s="63"/>
      <x:c r="O269" s="63"/>
      <x:c r="P269" s="63"/>
      <x:c r="Q269" s="63"/>
      <x:c r="R269" s="63"/>
    </x:row>
    <x:row r="270">
      <x:c r="A270" s="63"/>
      <x:c r="B270" s="63"/>
      <x:c r="C270" s="63"/>
      <x:c r="D270" s="63"/>
      <x:c r="E270" s="63"/>
      <x:c r="F270" s="63"/>
      <x:c r="G270" s="63"/>
      <x:c r="H270" s="63"/>
      <x:c r="I270" s="63"/>
      <x:c r="J270" s="63"/>
      <x:c r="K270" s="63"/>
      <x:c r="L270" s="63"/>
      <x:c r="M270" s="63"/>
      <x:c r="N270" s="63"/>
      <x:c r="O270" s="63"/>
      <x:c r="P270" s="63"/>
      <x:c r="Q270" s="63"/>
      <x:c r="R270" s="63"/>
    </x:row>
    <x:row r="271">
      <x:c r="A271" s="63"/>
      <x:c r="B271" s="63"/>
      <x:c r="C271" s="63"/>
      <x:c r="D271" s="63"/>
      <x:c r="E271" s="63"/>
      <x:c r="F271" s="63"/>
      <x:c r="G271" s="63"/>
      <x:c r="H271" s="63"/>
      <x:c r="I271" s="63"/>
      <x:c r="J271" s="63"/>
      <x:c r="K271" s="63"/>
      <x:c r="L271" s="63"/>
      <x:c r="M271" s="63"/>
      <x:c r="N271" s="63"/>
      <x:c r="O271" s="63"/>
      <x:c r="P271" s="63"/>
      <x:c r="Q271" s="63"/>
      <x:c r="R271" s="63"/>
    </x:row>
    <x:row r="272">
      <x:c r="A272" s="63"/>
      <x:c r="B272" s="63"/>
      <x:c r="C272" s="63"/>
      <x:c r="D272" s="63"/>
      <x:c r="E272" s="63"/>
      <x:c r="F272" s="63"/>
      <x:c r="G272" s="63"/>
      <x:c r="H272" s="63"/>
      <x:c r="I272" s="63"/>
      <x:c r="J272" s="63"/>
      <x:c r="K272" s="63"/>
      <x:c r="L272" s="63"/>
      <x:c r="M272" s="63"/>
      <x:c r="N272" s="63"/>
      <x:c r="O272" s="63"/>
      <x:c r="P272" s="63"/>
      <x:c r="Q272" s="63"/>
      <x:c r="R272" s="63"/>
    </x:row>
    <x:row r="273">
      <x:c r="A273" s="63"/>
      <x:c r="B273" s="63"/>
      <x:c r="C273" s="63"/>
      <x:c r="D273" s="63"/>
      <x:c r="E273" s="63"/>
      <x:c r="F273" s="63"/>
      <x:c r="G273" s="63"/>
      <x:c r="H273" s="63"/>
      <x:c r="I273" s="63"/>
      <x:c r="J273" s="63"/>
      <x:c r="K273" s="63"/>
      <x:c r="L273" s="63"/>
      <x:c r="M273" s="63"/>
      <x:c r="N273" s="63"/>
      <x:c r="O273" s="63"/>
      <x:c r="P273" s="63"/>
      <x:c r="Q273" s="63"/>
      <x:c r="R273" s="63"/>
    </x:row>
    <x:row r="274">
      <x:c r="A274" s="63"/>
      <x:c r="B274" s="63"/>
      <x:c r="C274" s="63"/>
      <x:c r="D274" s="63"/>
      <x:c r="E274" s="63"/>
      <x:c r="F274" s="63"/>
      <x:c r="G274" s="63"/>
      <x:c r="H274" s="63"/>
      <x:c r="I274" s="63"/>
      <x:c r="J274" s="63"/>
      <x:c r="K274" s="63"/>
      <x:c r="L274" s="63"/>
      <x:c r="M274" s="63"/>
      <x:c r="N274" s="63"/>
      <x:c r="O274" s="63"/>
      <x:c r="P274" s="63"/>
      <x:c r="Q274" s="63"/>
      <x:c r="R274" s="63"/>
    </x:row>
    <x:row r="275">
      <x:c r="A275" s="63"/>
      <x:c r="B275" s="63"/>
      <x:c r="C275" s="63"/>
      <x:c r="D275" s="63"/>
      <x:c r="E275" s="63"/>
      <x:c r="F275" s="63"/>
      <x:c r="G275" s="63"/>
      <x:c r="H275" s="63"/>
      <x:c r="I275" s="63"/>
      <x:c r="J275" s="63"/>
      <x:c r="K275" s="63"/>
      <x:c r="L275" s="63"/>
      <x:c r="M275" s="63"/>
      <x:c r="N275" s="63"/>
      <x:c r="O275" s="63"/>
      <x:c r="P275" s="63"/>
      <x:c r="Q275" s="63"/>
      <x:c r="R275" s="63"/>
    </x:row>
    <x:row r="276">
      <x:c r="A276" s="63"/>
      <x:c r="B276" s="63"/>
      <x:c r="C276" s="63"/>
      <x:c r="D276" s="63"/>
      <x:c r="E276" s="63"/>
      <x:c r="F276" s="63"/>
      <x:c r="G276" s="63"/>
      <x:c r="H276" s="63"/>
      <x:c r="I276" s="63"/>
      <x:c r="J276" s="63"/>
      <x:c r="K276" s="63"/>
      <x:c r="L276" s="63"/>
      <x:c r="M276" s="63"/>
      <x:c r="N276" s="63"/>
      <x:c r="O276" s="63"/>
      <x:c r="P276" s="63"/>
      <x:c r="Q276" s="63"/>
      <x:c r="R276" s="63"/>
    </x:row>
    <x:row r="277">
      <x:c r="A277" s="63"/>
      <x:c r="B277" s="63"/>
      <x:c r="C277" s="63"/>
      <x:c r="D277" s="63"/>
      <x:c r="E277" s="63"/>
      <x:c r="F277" s="63"/>
      <x:c r="G277" s="63"/>
      <x:c r="H277" s="63"/>
      <x:c r="I277" s="63"/>
      <x:c r="J277" s="63"/>
      <x:c r="K277" s="63"/>
      <x:c r="L277" s="63"/>
      <x:c r="M277" s="63"/>
      <x:c r="N277" s="63"/>
      <x:c r="O277" s="63"/>
      <x:c r="P277" s="63"/>
      <x:c r="Q277" s="63"/>
      <x:c r="R277" s="63"/>
    </x:row>
    <x:row r="278">
      <x:c r="A278" s="63"/>
      <x:c r="B278" s="63"/>
      <x:c r="C278" s="63"/>
      <x:c r="D278" s="63"/>
      <x:c r="E278" s="63"/>
      <x:c r="F278" s="63"/>
      <x:c r="G278" s="63"/>
      <x:c r="H278" s="63"/>
      <x:c r="I278" s="63"/>
      <x:c r="J278" s="63"/>
      <x:c r="K278" s="63"/>
      <x:c r="L278" s="63"/>
      <x:c r="M278" s="63"/>
      <x:c r="N278" s="63"/>
      <x:c r="O278" s="63"/>
      <x:c r="P278" s="63"/>
      <x:c r="Q278" s="63"/>
      <x:c r="R278" s="63"/>
    </x:row>
    <x:row r="279">
      <x:c r="A279" s="63"/>
      <x:c r="B279" s="63"/>
      <x:c r="C279" s="63"/>
      <x:c r="D279" s="63"/>
      <x:c r="E279" s="63"/>
      <x:c r="F279" s="63"/>
      <x:c r="G279" s="63"/>
      <x:c r="H279" s="63"/>
      <x:c r="I279" s="63"/>
      <x:c r="J279" s="63"/>
      <x:c r="K279" s="63"/>
      <x:c r="L279" s="63"/>
      <x:c r="M279" s="63"/>
      <x:c r="N279" s="63"/>
      <x:c r="O279" s="63"/>
      <x:c r="P279" s="63"/>
      <x:c r="Q279" s="63"/>
      <x:c r="R279" s="63"/>
    </x:row>
    <x:row r="280">
      <x:c r="A280" s="63"/>
      <x:c r="B280" s="63"/>
      <x:c r="C280" s="63"/>
      <x:c r="D280" s="63"/>
      <x:c r="E280" s="63"/>
      <x:c r="F280" s="63"/>
      <x:c r="G280" s="63"/>
      <x:c r="H280" s="63"/>
      <x:c r="I280" s="63"/>
      <x:c r="J280" s="63"/>
      <x:c r="K280" s="63"/>
      <x:c r="L280" s="63"/>
      <x:c r="M280" s="63"/>
      <x:c r="N280" s="63"/>
      <x:c r="O280" s="63"/>
      <x:c r="P280" s="63"/>
      <x:c r="Q280" s="63"/>
      <x:c r="R280" s="63"/>
    </x:row>
    <x:row r="281">
      <x:c r="A281" s="63"/>
      <x:c r="B281" s="63"/>
      <x:c r="C281" s="63"/>
      <x:c r="D281" s="63"/>
      <x:c r="E281" s="63"/>
      <x:c r="F281" s="63"/>
      <x:c r="G281" s="63"/>
      <x:c r="H281" s="63"/>
      <x:c r="I281" s="63"/>
      <x:c r="J281" s="63"/>
      <x:c r="K281" s="63"/>
      <x:c r="L281" s="63"/>
      <x:c r="M281" s="63"/>
      <x:c r="N281" s="63"/>
      <x:c r="O281" s="63"/>
      <x:c r="P281" s="63"/>
      <x:c r="Q281" s="63"/>
      <x:c r="R281" s="63"/>
    </x:row>
    <x:row r="282">
      <x:c r="A282" s="63"/>
      <x:c r="B282" s="63"/>
      <x:c r="C282" s="63"/>
      <x:c r="D282" s="63"/>
      <x:c r="E282" s="63"/>
      <x:c r="F282" s="63"/>
      <x:c r="G282" s="63"/>
      <x:c r="H282" s="63"/>
      <x:c r="I282" s="63"/>
      <x:c r="J282" s="63"/>
      <x:c r="K282" s="63"/>
      <x:c r="L282" s="63"/>
      <x:c r="M282" s="63"/>
      <x:c r="N282" s="63"/>
      <x:c r="O282" s="63"/>
      <x:c r="P282" s="63"/>
      <x:c r="Q282" s="63"/>
      <x:c r="R282" s="63"/>
    </x:row>
    <x:row r="283">
      <x:c r="A283" s="63"/>
      <x:c r="B283" s="63"/>
      <x:c r="C283" s="63"/>
      <x:c r="D283" s="63"/>
      <x:c r="E283" s="63"/>
      <x:c r="F283" s="63"/>
      <x:c r="G283" s="63"/>
      <x:c r="H283" s="63"/>
      <x:c r="I283" s="63"/>
      <x:c r="J283" s="63"/>
      <x:c r="K283" s="63"/>
      <x:c r="L283" s="63"/>
      <x:c r="M283" s="63"/>
      <x:c r="N283" s="63"/>
      <x:c r="O283" s="63"/>
      <x:c r="P283" s="63"/>
      <x:c r="Q283" s="63"/>
      <x:c r="R283" s="63"/>
    </x:row>
    <x:row r="284">
      <x:c r="A284" s="63"/>
      <x:c r="B284" s="63"/>
      <x:c r="C284" s="63"/>
      <x:c r="D284" s="63"/>
      <x:c r="E284" s="63"/>
      <x:c r="F284" s="63"/>
      <x:c r="G284" s="63"/>
      <x:c r="H284" s="63"/>
      <x:c r="I284" s="63"/>
      <x:c r="J284" s="63"/>
      <x:c r="K284" s="63"/>
      <x:c r="L284" s="63"/>
      <x:c r="M284" s="63"/>
      <x:c r="N284" s="63"/>
      <x:c r="O284" s="63"/>
      <x:c r="P284" s="63"/>
      <x:c r="Q284" s="63"/>
      <x:c r="R284" s="63"/>
    </x:row>
    <x:row r="285">
      <x:c r="A285" s="63"/>
      <x:c r="B285" s="63"/>
      <x:c r="C285" s="63"/>
      <x:c r="D285" s="63"/>
      <x:c r="E285" s="63"/>
      <x:c r="F285" s="63"/>
      <x:c r="G285" s="63"/>
      <x:c r="H285" s="63"/>
      <x:c r="I285" s="63"/>
      <x:c r="J285" s="63"/>
      <x:c r="K285" s="63"/>
      <x:c r="L285" s="63"/>
      <x:c r="M285" s="63"/>
      <x:c r="N285" s="63"/>
      <x:c r="O285" s="63"/>
      <x:c r="P285" s="63"/>
      <x:c r="Q285" s="63"/>
      <x:c r="R285" s="63"/>
    </x:row>
    <x:row r="286">
      <x:c r="A286" s="63"/>
      <x:c r="B286" s="63"/>
      <x:c r="C286" s="63"/>
      <x:c r="D286" s="63"/>
      <x:c r="E286" s="63"/>
      <x:c r="F286" s="63"/>
      <x:c r="G286" s="63"/>
      <x:c r="H286" s="63"/>
      <x:c r="I286" s="63"/>
      <x:c r="J286" s="63"/>
      <x:c r="K286" s="63"/>
      <x:c r="L286" s="63"/>
      <x:c r="M286" s="63"/>
      <x:c r="N286" s="63"/>
      <x:c r="O286" s="63"/>
      <x:c r="P286" s="63"/>
      <x:c r="Q286" s="63"/>
      <x:c r="R286" s="63"/>
    </x:row>
    <x:row r="287">
      <x:c r="A287" s="63"/>
      <x:c r="B287" s="63"/>
      <x:c r="C287" s="63"/>
      <x:c r="D287" s="63"/>
      <x:c r="E287" s="63"/>
      <x:c r="F287" s="63"/>
      <x:c r="G287" s="63"/>
      <x:c r="H287" s="63"/>
      <x:c r="I287" s="63"/>
      <x:c r="J287" s="63"/>
      <x:c r="K287" s="63"/>
      <x:c r="L287" s="63"/>
      <x:c r="M287" s="63"/>
      <x:c r="N287" s="63"/>
      <x:c r="O287" s="63"/>
      <x:c r="P287" s="63"/>
      <x:c r="Q287" s="63"/>
      <x:c r="R287" s="63"/>
    </x:row>
    <x:row r="288">
      <x:c r="A288" s="63"/>
      <x:c r="B288" s="63"/>
      <x:c r="C288" s="63"/>
      <x:c r="D288" s="63"/>
      <x:c r="E288" s="63"/>
      <x:c r="F288" s="63"/>
      <x:c r="G288" s="63"/>
      <x:c r="H288" s="63"/>
      <x:c r="I288" s="63"/>
      <x:c r="J288" s="63"/>
      <x:c r="K288" s="63"/>
      <x:c r="L288" s="63"/>
      <x:c r="M288" s="63"/>
      <x:c r="N288" s="63"/>
      <x:c r="O288" s="63"/>
      <x:c r="P288" s="63"/>
      <x:c r="Q288" s="63"/>
      <x:c r="R288" s="63"/>
    </x:row>
    <x:row r="289">
      <x:c r="A289" s="63"/>
      <x:c r="B289" s="63"/>
      <x:c r="C289" s="63"/>
      <x:c r="D289" s="63"/>
      <x:c r="E289" s="63"/>
      <x:c r="F289" s="63"/>
      <x:c r="G289" s="63"/>
      <x:c r="H289" s="63"/>
      <x:c r="I289" s="63"/>
      <x:c r="J289" s="63"/>
      <x:c r="K289" s="63"/>
      <x:c r="L289" s="63"/>
      <x:c r="M289" s="63"/>
      <x:c r="N289" s="63"/>
      <x:c r="O289" s="63"/>
      <x:c r="P289" s="63"/>
      <x:c r="Q289" s="63"/>
      <x:c r="R289" s="63"/>
    </x:row>
    <x:row r="290">
      <x:c r="A290" s="63"/>
      <x:c r="B290" s="63"/>
      <x:c r="C290" s="63"/>
      <x:c r="D290" s="63"/>
      <x:c r="E290" s="63"/>
      <x:c r="F290" s="63"/>
      <x:c r="G290" s="63"/>
      <x:c r="H290" s="63"/>
      <x:c r="I290" s="63"/>
      <x:c r="J290" s="63"/>
      <x:c r="K290" s="63"/>
      <x:c r="L290" s="63"/>
      <x:c r="M290" s="63"/>
      <x:c r="N290" s="63"/>
      <x:c r="O290" s="63"/>
      <x:c r="P290" s="63"/>
      <x:c r="Q290" s="63"/>
      <x:c r="R290" s="63"/>
    </x:row>
    <x:row r="291">
      <x:c r="A291" s="63"/>
      <x:c r="B291" s="63"/>
      <x:c r="C291" s="63"/>
      <x:c r="D291" s="63"/>
      <x:c r="E291" s="63"/>
      <x:c r="F291" s="63"/>
      <x:c r="G291" s="63"/>
      <x:c r="H291" s="63"/>
      <x:c r="I291" s="63"/>
      <x:c r="J291" s="63"/>
      <x:c r="K291" s="63"/>
      <x:c r="L291" s="63"/>
      <x:c r="M291" s="63"/>
      <x:c r="N291" s="63"/>
      <x:c r="O291" s="63"/>
      <x:c r="P291" s="63"/>
      <x:c r="Q291" s="63"/>
      <x:c r="R291" s="63"/>
    </x:row>
    <x:row r="292">
      <x:c r="A292" s="63"/>
      <x:c r="B292" s="63"/>
      <x:c r="C292" s="63"/>
      <x:c r="D292" s="63"/>
      <x:c r="E292" s="63"/>
      <x:c r="F292" s="63"/>
      <x:c r="G292" s="63"/>
      <x:c r="H292" s="63"/>
      <x:c r="I292" s="63"/>
      <x:c r="J292" s="63"/>
      <x:c r="K292" s="63"/>
      <x:c r="L292" s="63"/>
      <x:c r="M292" s="63"/>
      <x:c r="N292" s="63"/>
      <x:c r="O292" s="63"/>
      <x:c r="P292" s="63"/>
      <x:c r="Q292" s="63"/>
      <x:c r="R292" s="63"/>
    </x:row>
    <x:row r="293">
      <x:c r="A293" s="63"/>
      <x:c r="B293" s="63"/>
      <x:c r="C293" s="63"/>
      <x:c r="D293" s="63"/>
      <x:c r="E293" s="63"/>
      <x:c r="F293" s="63"/>
      <x:c r="G293" s="63"/>
      <x:c r="H293" s="63"/>
      <x:c r="I293" s="63"/>
      <x:c r="J293" s="63"/>
      <x:c r="K293" s="63"/>
      <x:c r="L293" s="63"/>
      <x:c r="M293" s="63"/>
      <x:c r="N293" s="63"/>
      <x:c r="O293" s="63"/>
      <x:c r="P293" s="63"/>
      <x:c r="Q293" s="63"/>
      <x:c r="R293" s="63"/>
    </x:row>
    <x:row r="294">
      <x:c r="A294" s="63"/>
      <x:c r="B294" s="63"/>
      <x:c r="C294" s="63"/>
      <x:c r="D294" s="63"/>
      <x:c r="E294" s="63"/>
      <x:c r="F294" s="63"/>
      <x:c r="G294" s="63"/>
      <x:c r="H294" s="63"/>
      <x:c r="I294" s="63"/>
      <x:c r="J294" s="63"/>
      <x:c r="K294" s="63"/>
      <x:c r="L294" s="63"/>
      <x:c r="M294" s="63"/>
      <x:c r="N294" s="63"/>
      <x:c r="O294" s="63"/>
      <x:c r="P294" s="63"/>
      <x:c r="Q294" s="63"/>
      <x:c r="R294" s="63"/>
    </x:row>
    <x:row r="295">
      <x:c r="A295" s="63"/>
      <x:c r="B295" s="63"/>
      <x:c r="C295" s="63"/>
      <x:c r="D295" s="63"/>
      <x:c r="E295" s="63"/>
      <x:c r="F295" s="63"/>
      <x:c r="G295" s="63"/>
      <x:c r="H295" s="63"/>
      <x:c r="I295" s="63"/>
      <x:c r="J295" s="63"/>
      <x:c r="K295" s="63"/>
      <x:c r="L295" s="63"/>
      <x:c r="M295" s="63"/>
      <x:c r="N295" s="63"/>
      <x:c r="O295" s="63"/>
      <x:c r="P295" s="63"/>
      <x:c r="Q295" s="63"/>
      <x:c r="R295" s="63"/>
    </x:row>
    <x:row r="296">
      <x:c r="A296" s="63"/>
      <x:c r="B296" s="63"/>
      <x:c r="C296" s="63"/>
      <x:c r="D296" s="63"/>
      <x:c r="E296" s="63"/>
      <x:c r="F296" s="63"/>
      <x:c r="G296" s="63"/>
      <x:c r="H296" s="63"/>
      <x:c r="I296" s="63"/>
      <x:c r="J296" s="63"/>
      <x:c r="K296" s="63"/>
      <x:c r="L296" s="63"/>
      <x:c r="M296" s="63"/>
      <x:c r="N296" s="63"/>
      <x:c r="O296" s="63"/>
      <x:c r="P296" s="63"/>
      <x:c r="Q296" s="63"/>
      <x:c r="R296" s="63"/>
    </x:row>
    <x:row r="297">
      <x:c r="A297" s="63"/>
      <x:c r="B297" s="63"/>
      <x:c r="C297" s="63"/>
      <x:c r="D297" s="63"/>
      <x:c r="E297" s="63"/>
      <x:c r="F297" s="63"/>
      <x:c r="G297" s="63"/>
      <x:c r="H297" s="63"/>
      <x:c r="I297" s="63"/>
      <x:c r="J297" s="63"/>
      <x:c r="K297" s="63"/>
      <x:c r="L297" s="63"/>
      <x:c r="M297" s="63"/>
      <x:c r="N297" s="63"/>
      <x:c r="O297" s="63"/>
      <x:c r="P297" s="63"/>
      <x:c r="Q297" s="63"/>
      <x:c r="R297" s="63"/>
    </x:row>
    <x:row r="298">
      <x:c r="A298" s="63"/>
      <x:c r="B298" s="63"/>
      <x:c r="C298" s="63"/>
      <x:c r="D298" s="63"/>
      <x:c r="E298" s="63"/>
      <x:c r="F298" s="63"/>
      <x:c r="G298" s="63"/>
      <x:c r="H298" s="63"/>
      <x:c r="I298" s="63"/>
      <x:c r="J298" s="63"/>
      <x:c r="K298" s="63"/>
      <x:c r="L298" s="63"/>
      <x:c r="M298" s="63"/>
      <x:c r="N298" s="63"/>
      <x:c r="O298" s="63"/>
      <x:c r="P298" s="63"/>
      <x:c r="Q298" s="63"/>
      <x:c r="R298" s="63"/>
    </x:row>
    <x:row r="299">
      <x:c r="A299" s="63"/>
      <x:c r="B299" s="63"/>
      <x:c r="C299" s="63"/>
      <x:c r="D299" s="63"/>
      <x:c r="E299" s="63"/>
      <x:c r="F299" s="63"/>
      <x:c r="G299" s="63"/>
      <x:c r="H299" s="63"/>
      <x:c r="I299" s="63"/>
      <x:c r="J299" s="63"/>
      <x:c r="K299" s="63"/>
      <x:c r="L299" s="63"/>
      <x:c r="M299" s="63"/>
      <x:c r="N299" s="63"/>
      <x:c r="O299" s="63"/>
      <x:c r="P299" s="63"/>
      <x:c r="Q299" s="63"/>
      <x:c r="R299" s="63"/>
    </x:row>
    <x:row r="300">
      <x:c r="A300" s="63"/>
      <x:c r="B300" s="63"/>
      <x:c r="C300" s="63"/>
      <x:c r="D300" s="63"/>
      <x:c r="E300" s="63"/>
      <x:c r="F300" s="63"/>
      <x:c r="G300" s="63"/>
      <x:c r="H300" s="63"/>
      <x:c r="I300" s="63"/>
      <x:c r="J300" s="63"/>
      <x:c r="K300" s="63"/>
      <x:c r="L300" s="63"/>
      <x:c r="M300" s="63"/>
      <x:c r="N300" s="63"/>
      <x:c r="O300" s="63"/>
      <x:c r="P300" s="63"/>
      <x:c r="Q300" s="63"/>
      <x:c r="R300" s="63"/>
    </x:row>
    <x:row r="301">
      <x:c r="A301" s="63"/>
      <x:c r="B301" s="63"/>
      <x:c r="C301" s="63"/>
      <x:c r="D301" s="63"/>
      <x:c r="E301" s="63"/>
      <x:c r="F301" s="63"/>
      <x:c r="G301" s="63"/>
      <x:c r="H301" s="63"/>
      <x:c r="I301" s="63"/>
      <x:c r="J301" s="63"/>
      <x:c r="K301" s="63"/>
      <x:c r="L301" s="63"/>
      <x:c r="M301" s="63"/>
      <x:c r="N301" s="63"/>
      <x:c r="O301" s="63"/>
      <x:c r="P301" s="63"/>
      <x:c r="Q301" s="63"/>
      <x:c r="R301" s="63"/>
    </x:row>
    <x:row r="302">
      <x:c r="A302" s="63"/>
      <x:c r="B302" s="63"/>
      <x:c r="C302" s="63"/>
      <x:c r="D302" s="63"/>
      <x:c r="E302" s="63"/>
      <x:c r="F302" s="63"/>
      <x:c r="G302" s="63"/>
      <x:c r="H302" s="63"/>
      <x:c r="I302" s="63"/>
      <x:c r="J302" s="63"/>
      <x:c r="K302" s="63"/>
      <x:c r="L302" s="63"/>
      <x:c r="M302" s="63"/>
      <x:c r="N302" s="63"/>
      <x:c r="O302" s="63"/>
      <x:c r="P302" s="63"/>
      <x:c r="Q302" s="63"/>
      <x:c r="R302" s="63"/>
    </x:row>
    <x:row r="303">
      <x:c r="A303" s="63"/>
      <x:c r="B303" s="63"/>
      <x:c r="C303" s="63"/>
      <x:c r="D303" s="63"/>
      <x:c r="E303" s="63"/>
      <x:c r="F303" s="63"/>
      <x:c r="G303" s="63"/>
      <x:c r="H303" s="63"/>
      <x:c r="I303" s="63"/>
      <x:c r="J303" s="63"/>
      <x:c r="K303" s="63"/>
      <x:c r="L303" s="63"/>
      <x:c r="M303" s="63"/>
      <x:c r="N303" s="63"/>
      <x:c r="O303" s="63"/>
      <x:c r="P303" s="63"/>
      <x:c r="Q303" s="63"/>
      <x:c r="R303" s="63"/>
    </x:row>
    <x:row r="304">
      <x:c r="A304" s="63"/>
      <x:c r="B304" s="63"/>
      <x:c r="C304" s="63"/>
      <x:c r="D304" s="63"/>
      <x:c r="E304" s="63"/>
      <x:c r="F304" s="63"/>
      <x:c r="G304" s="63"/>
      <x:c r="H304" s="63"/>
      <x:c r="I304" s="63"/>
      <x:c r="J304" s="63"/>
      <x:c r="K304" s="63"/>
      <x:c r="L304" s="63"/>
      <x:c r="M304" s="63"/>
      <x:c r="N304" s="63"/>
      <x:c r="O304" s="63"/>
      <x:c r="P304" s="63"/>
      <x:c r="Q304" s="63"/>
      <x:c r="R304" s="63"/>
    </x:row>
    <x:row r="305">
      <x:c r="A305" s="63"/>
      <x:c r="B305" s="63"/>
      <x:c r="C305" s="63"/>
      <x:c r="D305" s="63"/>
      <x:c r="E305" s="63"/>
      <x:c r="F305" s="63"/>
      <x:c r="G305" s="63"/>
      <x:c r="H305" s="63"/>
      <x:c r="I305" s="63"/>
      <x:c r="J305" s="63"/>
      <x:c r="K305" s="63"/>
      <x:c r="L305" s="63"/>
      <x:c r="M305" s="63"/>
      <x:c r="N305" s="63"/>
      <x:c r="O305" s="63"/>
      <x:c r="P305" s="63"/>
      <x:c r="Q305" s="63"/>
      <x:c r="R305" s="63"/>
    </x:row>
    <x:row r="306">
      <x:c r="A306" s="63"/>
      <x:c r="B306" s="63"/>
      <x:c r="C306" s="63"/>
      <x:c r="D306" s="63"/>
      <x:c r="E306" s="63"/>
      <x:c r="F306" s="63"/>
      <x:c r="G306" s="63"/>
      <x:c r="H306" s="63"/>
      <x:c r="I306" s="63"/>
      <x:c r="J306" s="63"/>
      <x:c r="K306" s="63"/>
      <x:c r="L306" s="63"/>
      <x:c r="M306" s="63"/>
      <x:c r="N306" s="63"/>
      <x:c r="O306" s="63"/>
      <x:c r="P306" s="63"/>
      <x:c r="Q306" s="63"/>
      <x:c r="R306" s="63"/>
    </x:row>
    <x:row r="307">
      <x:c r="A307" s="63"/>
      <x:c r="B307" s="63"/>
      <x:c r="C307" s="63"/>
      <x:c r="D307" s="63"/>
      <x:c r="E307" s="63"/>
      <x:c r="F307" s="63"/>
      <x:c r="G307" s="63"/>
      <x:c r="H307" s="63"/>
      <x:c r="I307" s="63"/>
      <x:c r="J307" s="63"/>
      <x:c r="K307" s="63"/>
      <x:c r="L307" s="63"/>
      <x:c r="M307" s="63"/>
      <x:c r="N307" s="63"/>
      <x:c r="O307" s="63"/>
      <x:c r="P307" s="63"/>
      <x:c r="Q307" s="63"/>
      <x:c r="R307" s="63"/>
    </x:row>
    <x:row r="308">
      <x:c r="A308" s="63"/>
      <x:c r="B308" s="63"/>
      <x:c r="C308" s="63"/>
      <x:c r="D308" s="63"/>
      <x:c r="E308" s="63"/>
      <x:c r="F308" s="63"/>
      <x:c r="G308" s="63"/>
      <x:c r="H308" s="63"/>
      <x:c r="I308" s="63"/>
      <x:c r="J308" s="63"/>
      <x:c r="K308" s="63"/>
      <x:c r="L308" s="63"/>
      <x:c r="M308" s="63"/>
      <x:c r="N308" s="63"/>
      <x:c r="O308" s="63"/>
      <x:c r="P308" s="63"/>
      <x:c r="Q308" s="63"/>
      <x:c r="R308" s="63"/>
    </x:row>
    <x:row r="309">
      <x:c r="A309" s="63"/>
      <x:c r="B309" s="63"/>
      <x:c r="C309" s="63"/>
      <x:c r="D309" s="63"/>
      <x:c r="E309" s="63"/>
      <x:c r="F309" s="63"/>
      <x:c r="G309" s="63"/>
      <x:c r="H309" s="63"/>
      <x:c r="I309" s="63"/>
      <x:c r="J309" s="63"/>
      <x:c r="K309" s="63"/>
      <x:c r="L309" s="63"/>
      <x:c r="M309" s="63"/>
      <x:c r="N309" s="63"/>
      <x:c r="O309" s="63"/>
      <x:c r="P309" s="63"/>
      <x:c r="Q309" s="63"/>
      <x:c r="R309" s="63"/>
    </x:row>
    <x:row r="310">
      <x:c r="A310" s="63"/>
      <x:c r="B310" s="63"/>
      <x:c r="C310" s="63"/>
      <x:c r="D310" s="63"/>
      <x:c r="E310" s="63"/>
      <x:c r="F310" s="63"/>
      <x:c r="G310" s="63"/>
      <x:c r="H310" s="63"/>
      <x:c r="I310" s="63"/>
      <x:c r="J310" s="63"/>
      <x:c r="K310" s="63"/>
      <x:c r="L310" s="63"/>
      <x:c r="M310" s="63"/>
      <x:c r="N310" s="63"/>
      <x:c r="O310" s="63"/>
      <x:c r="P310" s="63"/>
      <x:c r="Q310" s="63"/>
      <x:c r="R310" s="63"/>
    </x:row>
    <x:row r="311">
      <x:c r="A311" s="63"/>
      <x:c r="B311" s="63"/>
      <x:c r="C311" s="63"/>
      <x:c r="D311" s="63"/>
      <x:c r="E311" s="63"/>
      <x:c r="F311" s="63"/>
      <x:c r="G311" s="63"/>
      <x:c r="H311" s="63"/>
      <x:c r="I311" s="63"/>
      <x:c r="J311" s="63"/>
      <x:c r="K311" s="63"/>
      <x:c r="L311" s="63"/>
      <x:c r="M311" s="63"/>
      <x:c r="N311" s="63"/>
      <x:c r="O311" s="63"/>
      <x:c r="P311" s="63"/>
      <x:c r="Q311" s="63"/>
      <x:c r="R311" s="63"/>
    </x:row>
    <x:row r="312">
      <x:c r="A312" s="63"/>
      <x:c r="B312" s="63"/>
      <x:c r="C312" s="63"/>
      <x:c r="D312" s="63"/>
      <x:c r="E312" s="63"/>
      <x:c r="F312" s="63"/>
      <x:c r="G312" s="63"/>
      <x:c r="H312" s="63"/>
      <x:c r="I312" s="63"/>
      <x:c r="J312" s="63"/>
      <x:c r="K312" s="63"/>
      <x:c r="L312" s="63"/>
      <x:c r="M312" s="63"/>
      <x:c r="N312" s="63"/>
      <x:c r="O312" s="63"/>
      <x:c r="P312" s="63"/>
      <x:c r="Q312" s="63"/>
      <x:c r="R312" s="63"/>
    </x:row>
    <x:row r="313">
      <x:c r="A313" s="63"/>
      <x:c r="B313" s="63"/>
      <x:c r="C313" s="63"/>
      <x:c r="D313" s="63"/>
      <x:c r="E313" s="63"/>
      <x:c r="F313" s="63"/>
      <x:c r="G313" s="63"/>
      <x:c r="H313" s="63"/>
      <x:c r="I313" s="63"/>
      <x:c r="J313" s="63"/>
      <x:c r="K313" s="63"/>
      <x:c r="L313" s="63"/>
      <x:c r="M313" s="63"/>
      <x:c r="N313" s="63"/>
      <x:c r="O313" s="63"/>
      <x:c r="P313" s="63"/>
      <x:c r="Q313" s="63"/>
      <x:c r="R313" s="63"/>
    </x:row>
    <x:row r="314">
      <x:c r="A314" s="63"/>
      <x:c r="B314" s="63"/>
      <x:c r="C314" s="63"/>
      <x:c r="D314" s="63"/>
      <x:c r="E314" s="63"/>
      <x:c r="F314" s="63"/>
      <x:c r="G314" s="63"/>
      <x:c r="H314" s="63"/>
      <x:c r="I314" s="63"/>
      <x:c r="J314" s="63"/>
      <x:c r="K314" s="63"/>
      <x:c r="L314" s="63"/>
      <x:c r="M314" s="63"/>
      <x:c r="N314" s="63"/>
      <x:c r="O314" s="63"/>
      <x:c r="P314" s="63"/>
      <x:c r="Q314" s="63"/>
      <x:c r="R314" s="63"/>
    </x:row>
    <x:row r="315">
      <x:c r="A315" s="63"/>
      <x:c r="B315" s="63"/>
      <x:c r="C315" s="63"/>
      <x:c r="D315" s="63"/>
      <x:c r="E315" s="63"/>
      <x:c r="F315" s="63"/>
      <x:c r="G315" s="63"/>
      <x:c r="H315" s="63"/>
      <x:c r="I315" s="63"/>
      <x:c r="J315" s="63"/>
      <x:c r="K315" s="63"/>
      <x:c r="L315" s="63"/>
      <x:c r="M315" s="63"/>
      <x:c r="N315" s="63"/>
      <x:c r="O315" s="63"/>
      <x:c r="P315" s="63"/>
      <x:c r="Q315" s="63"/>
      <x:c r="R315" s="63"/>
    </x:row>
    <x:row r="316">
      <x:c r="A316" s="63"/>
      <x:c r="B316" s="63"/>
      <x:c r="C316" s="63"/>
      <x:c r="D316" s="63"/>
      <x:c r="E316" s="63"/>
      <x:c r="F316" s="63"/>
      <x:c r="G316" s="63"/>
      <x:c r="H316" s="63"/>
      <x:c r="I316" s="63"/>
      <x:c r="J316" s="63"/>
      <x:c r="K316" s="63"/>
      <x:c r="L316" s="63"/>
      <x:c r="M316" s="63"/>
      <x:c r="N316" s="63"/>
      <x:c r="O316" s="63"/>
      <x:c r="P316" s="63"/>
      <x:c r="Q316" s="63"/>
      <x:c r="R316" s="63"/>
    </x:row>
    <x:row r="317">
      <x:c r="A317" s="63"/>
      <x:c r="B317" s="63"/>
      <x:c r="C317" s="63"/>
      <x:c r="D317" s="63"/>
      <x:c r="E317" s="63"/>
      <x:c r="F317" s="63"/>
      <x:c r="G317" s="63"/>
      <x:c r="H317" s="63"/>
      <x:c r="I317" s="63"/>
      <x:c r="J317" s="63"/>
      <x:c r="K317" s="63"/>
      <x:c r="L317" s="63"/>
      <x:c r="M317" s="63"/>
      <x:c r="N317" s="63"/>
      <x:c r="O317" s="63"/>
      <x:c r="P317" s="63"/>
      <x:c r="Q317" s="63"/>
      <x:c r="R317" s="63"/>
    </x:row>
    <x:row r="318">
      <x:c r="A318" s="63"/>
      <x:c r="B318" s="63"/>
      <x:c r="C318" s="63"/>
      <x:c r="D318" s="63"/>
      <x:c r="E318" s="63"/>
      <x:c r="F318" s="63"/>
      <x:c r="G318" s="63"/>
      <x:c r="H318" s="63"/>
      <x:c r="I318" s="63"/>
      <x:c r="J318" s="63"/>
      <x:c r="K318" s="63"/>
      <x:c r="L318" s="63"/>
      <x:c r="M318" s="63"/>
      <x:c r="N318" s="63"/>
      <x:c r="O318" s="63"/>
      <x:c r="P318" s="63"/>
      <x:c r="Q318" s="63"/>
      <x:c r="R318" s="63"/>
    </x:row>
    <x:row r="319">
      <x:c r="A319" s="63"/>
      <x:c r="B319" s="63"/>
      <x:c r="C319" s="63"/>
      <x:c r="D319" s="63"/>
      <x:c r="E319" s="63"/>
      <x:c r="F319" s="63"/>
      <x:c r="G319" s="63"/>
      <x:c r="H319" s="63"/>
      <x:c r="I319" s="63"/>
      <x:c r="J319" s="63"/>
      <x:c r="K319" s="63"/>
      <x:c r="L319" s="63"/>
      <x:c r="M319" s="63"/>
      <x:c r="N319" s="63"/>
      <x:c r="O319" s="63"/>
      <x:c r="P319" s="63"/>
      <x:c r="Q319" s="63"/>
      <x:c r="R319" s="63"/>
    </x:row>
    <x:row r="320">
      <x:c r="A320" s="63"/>
      <x:c r="B320" s="63"/>
      <x:c r="C320" s="63"/>
      <x:c r="D320" s="63"/>
      <x:c r="E320" s="63"/>
      <x:c r="F320" s="63"/>
      <x:c r="G320" s="63"/>
      <x:c r="H320" s="63"/>
      <x:c r="I320" s="63"/>
      <x:c r="J320" s="63"/>
      <x:c r="K320" s="63"/>
      <x:c r="L320" s="63"/>
      <x:c r="M320" s="63"/>
      <x:c r="N320" s="63"/>
      <x:c r="O320" s="63"/>
      <x:c r="P320" s="63"/>
      <x:c r="Q320" s="63"/>
      <x:c r="R320" s="63"/>
    </x:row>
    <x:row r="321">
      <x:c r="A321" s="63"/>
      <x:c r="B321" s="63"/>
      <x:c r="C321" s="63"/>
      <x:c r="D321" s="63"/>
      <x:c r="E321" s="63"/>
      <x:c r="F321" s="63"/>
      <x:c r="G321" s="63"/>
      <x:c r="H321" s="63"/>
      <x:c r="I321" s="63"/>
      <x:c r="J321" s="63"/>
      <x:c r="K321" s="63"/>
      <x:c r="L321" s="63"/>
      <x:c r="M321" s="63"/>
      <x:c r="N321" s="63"/>
      <x:c r="O321" s="63"/>
      <x:c r="P321" s="63"/>
      <x:c r="Q321" s="63"/>
      <x:c r="R321" s="63"/>
    </x:row>
    <x:row r="322">
      <x:c r="A322" s="63"/>
      <x:c r="B322" s="63"/>
      <x:c r="C322" s="63"/>
      <x:c r="D322" s="63"/>
      <x:c r="E322" s="63"/>
      <x:c r="F322" s="63"/>
      <x:c r="G322" s="63"/>
      <x:c r="H322" s="63"/>
      <x:c r="I322" s="63"/>
      <x:c r="J322" s="63"/>
      <x:c r="K322" s="63"/>
      <x:c r="L322" s="63"/>
      <x:c r="M322" s="63"/>
      <x:c r="N322" s="63"/>
      <x:c r="O322" s="63"/>
      <x:c r="P322" s="63"/>
      <x:c r="Q322" s="63"/>
      <x:c r="R322" s="63"/>
    </x:row>
    <x:row r="323">
      <x:c r="A323" s="63"/>
      <x:c r="B323" s="63"/>
      <x:c r="C323" s="63"/>
      <x:c r="D323" s="63"/>
      <x:c r="E323" s="63"/>
      <x:c r="F323" s="63"/>
      <x:c r="G323" s="63"/>
      <x:c r="H323" s="63"/>
      <x:c r="I323" s="63"/>
      <x:c r="J323" s="63"/>
      <x:c r="K323" s="63"/>
      <x:c r="L323" s="63"/>
      <x:c r="M323" s="63"/>
      <x:c r="N323" s="63"/>
      <x:c r="O323" s="63"/>
      <x:c r="P323" s="63"/>
      <x:c r="Q323" s="63"/>
      <x:c r="R323" s="63"/>
    </x:row>
    <x:row r="324">
      <x:c r="A324" s="63"/>
      <x:c r="B324" s="63"/>
      <x:c r="C324" s="63"/>
      <x:c r="D324" s="63"/>
      <x:c r="E324" s="63"/>
      <x:c r="F324" s="63"/>
      <x:c r="G324" s="63"/>
      <x:c r="H324" s="63"/>
      <x:c r="I324" s="63"/>
      <x:c r="J324" s="63"/>
      <x:c r="K324" s="63"/>
      <x:c r="L324" s="63"/>
      <x:c r="M324" s="63"/>
      <x:c r="N324" s="63"/>
      <x:c r="O324" s="63"/>
      <x:c r="P324" s="63"/>
      <x:c r="Q324" s="63"/>
      <x:c r="R324" s="63"/>
    </x:row>
    <x:row r="325">
      <x:c r="A325" s="63"/>
      <x:c r="B325" s="63"/>
      <x:c r="C325" s="63"/>
      <x:c r="D325" s="63"/>
      <x:c r="E325" s="63"/>
      <x:c r="F325" s="63"/>
      <x:c r="G325" s="63"/>
      <x:c r="H325" s="63"/>
      <x:c r="I325" s="63"/>
      <x:c r="J325" s="63"/>
      <x:c r="K325" s="63"/>
      <x:c r="L325" s="63"/>
      <x:c r="M325" s="63"/>
      <x:c r="N325" s="63"/>
      <x:c r="O325" s="63"/>
      <x:c r="P325" s="63"/>
      <x:c r="Q325" s="63"/>
      <x:c r="R325" s="63"/>
    </x:row>
    <x:row r="326">
      <x:c r="A326" s="63"/>
      <x:c r="B326" s="63"/>
      <x:c r="C326" s="63"/>
      <x:c r="D326" s="63"/>
      <x:c r="E326" s="63"/>
      <x:c r="F326" s="63"/>
      <x:c r="G326" s="63"/>
      <x:c r="H326" s="63"/>
      <x:c r="I326" s="63"/>
      <x:c r="J326" s="63"/>
      <x:c r="K326" s="63"/>
      <x:c r="L326" s="63"/>
      <x:c r="M326" s="63"/>
      <x:c r="N326" s="63"/>
      <x:c r="O326" s="63"/>
      <x:c r="P326" s="63"/>
      <x:c r="Q326" s="63"/>
      <x:c r="R326" s="63"/>
    </x:row>
    <x:row r="327">
      <x:c r="A327" s="63"/>
      <x:c r="B327" s="63"/>
      <x:c r="C327" s="63"/>
      <x:c r="D327" s="63"/>
      <x:c r="E327" s="63"/>
      <x:c r="F327" s="63"/>
      <x:c r="G327" s="63"/>
      <x:c r="H327" s="63"/>
      <x:c r="I327" s="63"/>
      <x:c r="J327" s="63"/>
      <x:c r="K327" s="63"/>
      <x:c r="L327" s="63"/>
      <x:c r="M327" s="63"/>
      <x:c r="N327" s="63"/>
      <x:c r="O327" s="63"/>
      <x:c r="P327" s="63"/>
      <x:c r="Q327" s="63"/>
      <x:c r="R327" s="63"/>
    </x:row>
    <x:row r="328">
      <x:c r="A328" s="63"/>
      <x:c r="B328" s="63"/>
      <x:c r="C328" s="63"/>
      <x:c r="D328" s="63"/>
      <x:c r="E328" s="63"/>
      <x:c r="F328" s="63"/>
      <x:c r="G328" s="63"/>
      <x:c r="H328" s="63"/>
      <x:c r="I328" s="63"/>
      <x:c r="J328" s="63"/>
      <x:c r="K328" s="63"/>
      <x:c r="L328" s="63"/>
      <x:c r="M328" s="63"/>
      <x:c r="N328" s="63"/>
      <x:c r="O328" s="63"/>
      <x:c r="P328" s="63"/>
      <x:c r="Q328" s="63"/>
      <x:c r="R328" s="63"/>
    </x:row>
    <x:row r="329">
      <x:c r="A329" s="63"/>
      <x:c r="B329" s="63"/>
      <x:c r="C329" s="63"/>
      <x:c r="D329" s="63"/>
      <x:c r="E329" s="63"/>
      <x:c r="F329" s="63"/>
      <x:c r="G329" s="63"/>
      <x:c r="H329" s="63"/>
      <x:c r="I329" s="63"/>
      <x:c r="J329" s="63"/>
      <x:c r="K329" s="63"/>
      <x:c r="L329" s="63"/>
      <x:c r="M329" s="63"/>
      <x:c r="N329" s="63"/>
      <x:c r="O329" s="63"/>
      <x:c r="P329" s="63"/>
      <x:c r="Q329" s="63"/>
      <x:c r="R329" s="63"/>
    </x:row>
    <x:row r="330">
      <x:c r="A330" s="63"/>
      <x:c r="B330" s="63"/>
      <x:c r="C330" s="63"/>
      <x:c r="D330" s="63"/>
      <x:c r="E330" s="63"/>
      <x:c r="F330" s="63"/>
      <x:c r="G330" s="63"/>
      <x:c r="H330" s="63"/>
      <x:c r="I330" s="63"/>
      <x:c r="J330" s="63"/>
      <x:c r="K330" s="63"/>
      <x:c r="L330" s="63"/>
      <x:c r="M330" s="63"/>
      <x:c r="N330" s="63"/>
      <x:c r="O330" s="63"/>
      <x:c r="P330" s="63"/>
      <x:c r="Q330" s="63"/>
      <x:c r="R330" s="63"/>
    </x:row>
    <x:row r="331">
      <x:c r="A331" s="63"/>
      <x:c r="B331" s="63"/>
      <x:c r="C331" s="63"/>
      <x:c r="D331" s="63"/>
      <x:c r="E331" s="63"/>
      <x:c r="F331" s="63"/>
      <x:c r="G331" s="63"/>
      <x:c r="H331" s="63"/>
      <x:c r="I331" s="63"/>
      <x:c r="J331" s="63"/>
      <x:c r="K331" s="63"/>
      <x:c r="L331" s="63"/>
      <x:c r="M331" s="63"/>
      <x:c r="N331" s="63"/>
      <x:c r="O331" s="63"/>
      <x:c r="P331" s="63"/>
      <x:c r="Q331" s="63"/>
      <x:c r="R331" s="63"/>
    </x:row>
    <x:row r="332">
      <x:c r="A332" s="63"/>
      <x:c r="B332" s="63"/>
      <x:c r="C332" s="63"/>
      <x:c r="D332" s="63"/>
      <x:c r="E332" s="63"/>
      <x:c r="F332" s="63"/>
      <x:c r="G332" s="63"/>
      <x:c r="H332" s="63"/>
      <x:c r="I332" s="63"/>
      <x:c r="J332" s="63"/>
      <x:c r="K332" s="63"/>
      <x:c r="L332" s="63"/>
      <x:c r="M332" s="63"/>
      <x:c r="N332" s="63"/>
      <x:c r="O332" s="63"/>
      <x:c r="P332" s="63"/>
      <x:c r="Q332" s="63"/>
      <x:c r="R332" s="63"/>
    </x:row>
    <x:row r="333">
      <x:c r="A333" s="63"/>
      <x:c r="B333" s="63"/>
      <x:c r="C333" s="63"/>
      <x:c r="D333" s="63"/>
      <x:c r="E333" s="63"/>
      <x:c r="F333" s="63"/>
      <x:c r="G333" s="63"/>
      <x:c r="H333" s="63"/>
      <x:c r="I333" s="63"/>
      <x:c r="J333" s="63"/>
      <x:c r="K333" s="63"/>
      <x:c r="L333" s="63"/>
      <x:c r="M333" s="63"/>
      <x:c r="N333" s="63"/>
      <x:c r="O333" s="63"/>
      <x:c r="P333" s="63"/>
      <x:c r="Q333" s="63"/>
      <x:c r="R333" s="63"/>
    </x:row>
    <x:row r="334">
      <x:c r="A334" s="63"/>
      <x:c r="B334" s="63"/>
      <x:c r="C334" s="63"/>
      <x:c r="D334" s="63"/>
      <x:c r="E334" s="63"/>
      <x:c r="F334" s="63"/>
      <x:c r="G334" s="63"/>
      <x:c r="H334" s="63"/>
      <x:c r="I334" s="63"/>
      <x:c r="J334" s="63"/>
      <x:c r="K334" s="63"/>
      <x:c r="L334" s="63"/>
      <x:c r="M334" s="63"/>
      <x:c r="N334" s="63"/>
      <x:c r="O334" s="63"/>
      <x:c r="P334" s="63"/>
      <x:c r="Q334" s="63"/>
      <x:c r="R334" s="63"/>
    </x:row>
    <x:row r="335">
      <x:c r="A335" s="63"/>
      <x:c r="B335" s="63"/>
      <x:c r="C335" s="63"/>
      <x:c r="D335" s="63"/>
      <x:c r="E335" s="63"/>
      <x:c r="F335" s="63"/>
      <x:c r="G335" s="63"/>
      <x:c r="H335" s="63"/>
      <x:c r="I335" s="63"/>
      <x:c r="J335" s="63"/>
      <x:c r="K335" s="63"/>
      <x:c r="L335" s="63"/>
      <x:c r="M335" s="63"/>
      <x:c r="N335" s="63"/>
      <x:c r="O335" s="63"/>
      <x:c r="P335" s="63"/>
      <x:c r="Q335" s="63"/>
      <x:c r="R335" s="63"/>
    </x:row>
    <x:row r="336">
      <x:c r="A336" s="63"/>
      <x:c r="B336" s="63"/>
      <x:c r="C336" s="63"/>
      <x:c r="D336" s="63"/>
      <x:c r="E336" s="63"/>
      <x:c r="F336" s="63"/>
      <x:c r="G336" s="63"/>
      <x:c r="H336" s="63"/>
      <x:c r="I336" s="63"/>
      <x:c r="J336" s="63"/>
      <x:c r="K336" s="63"/>
      <x:c r="L336" s="63"/>
      <x:c r="M336" s="63"/>
      <x:c r="N336" s="63"/>
      <x:c r="O336" s="63"/>
      <x:c r="P336" s="63"/>
      <x:c r="Q336" s="63"/>
      <x:c r="R336" s="63"/>
    </x:row>
    <x:row r="337">
      <x:c r="A337" s="63"/>
      <x:c r="B337" s="63"/>
      <x:c r="C337" s="63"/>
      <x:c r="D337" s="63"/>
      <x:c r="E337" s="63"/>
      <x:c r="F337" s="63"/>
      <x:c r="G337" s="63"/>
      <x:c r="H337" s="63"/>
      <x:c r="I337" s="63"/>
      <x:c r="J337" s="63"/>
      <x:c r="K337" s="63"/>
      <x:c r="L337" s="63"/>
      <x:c r="M337" s="63"/>
      <x:c r="N337" s="63"/>
      <x:c r="O337" s="63"/>
      <x:c r="P337" s="63"/>
      <x:c r="Q337" s="63"/>
      <x:c r="R337" s="63"/>
    </x:row>
    <x:row r="338">
      <x:c r="A338" s="63"/>
      <x:c r="B338" s="63"/>
      <x:c r="C338" s="63"/>
      <x:c r="D338" s="63"/>
      <x:c r="E338" s="63"/>
      <x:c r="F338" s="63"/>
      <x:c r="G338" s="63"/>
      <x:c r="H338" s="63"/>
      <x:c r="I338" s="63"/>
      <x:c r="J338" s="63"/>
      <x:c r="K338" s="63"/>
      <x:c r="L338" s="63"/>
      <x:c r="M338" s="63"/>
      <x:c r="N338" s="63"/>
      <x:c r="O338" s="63"/>
      <x:c r="P338" s="63"/>
      <x:c r="Q338" s="63"/>
      <x:c r="R338" s="63"/>
    </x:row>
    <x:row r="339">
      <x:c r="A339" s="63"/>
      <x:c r="B339" s="63"/>
      <x:c r="C339" s="63"/>
      <x:c r="D339" s="63"/>
      <x:c r="E339" s="63"/>
      <x:c r="F339" s="63"/>
      <x:c r="G339" s="63"/>
      <x:c r="H339" s="63"/>
      <x:c r="I339" s="63"/>
      <x:c r="J339" s="63"/>
      <x:c r="K339" s="63"/>
      <x:c r="L339" s="63"/>
      <x:c r="M339" s="63"/>
      <x:c r="N339" s="63"/>
      <x:c r="O339" s="63"/>
      <x:c r="P339" s="63"/>
      <x:c r="Q339" s="63"/>
      <x:c r="R339" s="63"/>
    </x:row>
    <x:row r="340">
      <x:c r="A340" s="63"/>
      <x:c r="B340" s="63"/>
      <x:c r="C340" s="63"/>
      <x:c r="D340" s="63"/>
      <x:c r="E340" s="63"/>
      <x:c r="F340" s="63"/>
      <x:c r="G340" s="63"/>
      <x:c r="H340" s="63"/>
      <x:c r="I340" s="63"/>
      <x:c r="J340" s="63"/>
      <x:c r="K340" s="63"/>
      <x:c r="L340" s="63"/>
      <x:c r="M340" s="63"/>
      <x:c r="N340" s="63"/>
      <x:c r="O340" s="63"/>
      <x:c r="P340" s="63"/>
      <x:c r="Q340" s="63"/>
      <x:c r="R340" s="63"/>
    </x:row>
    <x:row r="341">
      <x:c r="A341" s="63"/>
      <x:c r="B341" s="63"/>
      <x:c r="C341" s="63"/>
      <x:c r="D341" s="63"/>
      <x:c r="E341" s="63"/>
      <x:c r="F341" s="63"/>
      <x:c r="G341" s="63"/>
      <x:c r="H341" s="63"/>
      <x:c r="I341" s="63"/>
      <x:c r="J341" s="63"/>
      <x:c r="K341" s="63"/>
      <x:c r="L341" s="63"/>
      <x:c r="M341" s="63"/>
      <x:c r="N341" s="63"/>
      <x:c r="O341" s="63"/>
      <x:c r="P341" s="63"/>
      <x:c r="Q341" s="63"/>
      <x:c r="R341" s="63"/>
    </x:row>
    <x:row r="342">
      <x:c r="A342" s="63"/>
      <x:c r="B342" s="63"/>
      <x:c r="C342" s="63"/>
      <x:c r="D342" s="63"/>
      <x:c r="E342" s="63"/>
      <x:c r="F342" s="63"/>
      <x:c r="G342" s="63"/>
      <x:c r="H342" s="63"/>
      <x:c r="I342" s="63"/>
      <x:c r="J342" s="63"/>
      <x:c r="K342" s="63"/>
      <x:c r="L342" s="63"/>
      <x:c r="M342" s="63"/>
      <x:c r="N342" s="63"/>
      <x:c r="O342" s="63"/>
      <x:c r="P342" s="63"/>
      <x:c r="Q342" s="63"/>
      <x:c r="R342" s="63"/>
    </x:row>
    <x:row r="343">
      <x:c r="A343" s="63"/>
      <x:c r="B343" s="63"/>
      <x:c r="C343" s="63"/>
      <x:c r="D343" s="63"/>
      <x:c r="E343" s="63"/>
      <x:c r="F343" s="63"/>
      <x:c r="G343" s="63"/>
      <x:c r="H343" s="63"/>
      <x:c r="I343" s="63"/>
      <x:c r="J343" s="63"/>
      <x:c r="K343" s="63"/>
      <x:c r="L343" s="63"/>
      <x:c r="M343" s="63"/>
      <x:c r="N343" s="63"/>
      <x:c r="O343" s="63"/>
      <x:c r="P343" s="63"/>
      <x:c r="Q343" s="63"/>
      <x:c r="R343" s="63"/>
    </x:row>
    <x:row r="344">
      <x:c r="A344" s="63"/>
      <x:c r="B344" s="63"/>
      <x:c r="C344" s="63"/>
      <x:c r="D344" s="63"/>
      <x:c r="E344" s="63"/>
      <x:c r="F344" s="63"/>
      <x:c r="G344" s="63"/>
      <x:c r="H344" s="63"/>
      <x:c r="I344" s="63"/>
      <x:c r="J344" s="63"/>
      <x:c r="K344" s="63"/>
      <x:c r="L344" s="63"/>
      <x:c r="M344" s="63"/>
      <x:c r="N344" s="63"/>
      <x:c r="O344" s="63"/>
      <x:c r="P344" s="63"/>
      <x:c r="Q344" s="63"/>
      <x:c r="R344" s="63"/>
    </x:row>
    <x:row r="345">
      <x:c r="A345" s="63"/>
      <x:c r="B345" s="63"/>
      <x:c r="C345" s="63"/>
      <x:c r="D345" s="63"/>
      <x:c r="E345" s="63"/>
      <x:c r="F345" s="63"/>
      <x:c r="G345" s="63"/>
      <x:c r="H345" s="63"/>
      <x:c r="I345" s="63"/>
      <x:c r="J345" s="63"/>
      <x:c r="K345" s="63"/>
      <x:c r="L345" s="63"/>
      <x:c r="M345" s="63"/>
      <x:c r="N345" s="63"/>
      <x:c r="O345" s="63"/>
      <x:c r="P345" s="63"/>
      <x:c r="Q345" s="63"/>
      <x:c r="R345" s="63"/>
    </x:row>
    <x:row r="346">
      <x:c r="A346" s="63"/>
      <x:c r="B346" s="63"/>
      <x:c r="C346" s="63"/>
      <x:c r="D346" s="63"/>
      <x:c r="E346" s="63"/>
      <x:c r="F346" s="63"/>
      <x:c r="G346" s="63"/>
      <x:c r="H346" s="63"/>
      <x:c r="I346" s="63"/>
      <x:c r="J346" s="63"/>
      <x:c r="K346" s="63"/>
      <x:c r="L346" s="63"/>
      <x:c r="M346" s="63"/>
      <x:c r="N346" s="63"/>
      <x:c r="O346" s="63"/>
      <x:c r="P346" s="63"/>
      <x:c r="Q346" s="63"/>
      <x:c r="R346" s="63"/>
    </x:row>
    <x:row r="347">
      <x:c r="A347" s="63"/>
      <x:c r="B347" s="63"/>
      <x:c r="C347" s="63"/>
      <x:c r="D347" s="63"/>
      <x:c r="E347" s="63"/>
      <x:c r="F347" s="63"/>
      <x:c r="G347" s="63"/>
      <x:c r="H347" s="63"/>
      <x:c r="I347" s="63"/>
      <x:c r="J347" s="63"/>
      <x:c r="K347" s="63"/>
      <x:c r="L347" s="63"/>
      <x:c r="M347" s="63"/>
      <x:c r="N347" s="63"/>
      <x:c r="O347" s="63"/>
      <x:c r="P347" s="63"/>
      <x:c r="Q347" s="63"/>
      <x:c r="R347" s="63"/>
    </x:row>
    <x:row r="348">
      <x:c r="A348" s="63"/>
      <x:c r="B348" s="63"/>
      <x:c r="C348" s="63"/>
      <x:c r="D348" s="63"/>
      <x:c r="E348" s="63"/>
      <x:c r="F348" s="63"/>
      <x:c r="G348" s="63"/>
      <x:c r="H348" s="63"/>
      <x:c r="I348" s="63"/>
      <x:c r="J348" s="63"/>
      <x:c r="K348" s="63"/>
      <x:c r="L348" s="63"/>
      <x:c r="M348" s="63"/>
      <x:c r="N348" s="63"/>
      <x:c r="O348" s="63"/>
      <x:c r="P348" s="63"/>
      <x:c r="Q348" s="63"/>
      <x:c r="R348" s="63"/>
    </x:row>
    <x:row r="349">
      <x:c r="A349" s="63"/>
      <x:c r="B349" s="63"/>
      <x:c r="C349" s="63"/>
      <x:c r="D349" s="63"/>
      <x:c r="E349" s="63"/>
      <x:c r="F349" s="63"/>
      <x:c r="G349" s="63"/>
      <x:c r="H349" s="63"/>
      <x:c r="I349" s="63"/>
      <x:c r="J349" s="63"/>
      <x:c r="K349" s="63"/>
      <x:c r="L349" s="63"/>
      <x:c r="M349" s="63"/>
      <x:c r="N349" s="63"/>
      <x:c r="O349" s="63"/>
      <x:c r="P349" s="63"/>
      <x:c r="Q349" s="63"/>
      <x:c r="R349" s="63"/>
    </x:row>
    <x:row r="350">
      <x:c r="A350" s="63"/>
      <x:c r="B350" s="63"/>
      <x:c r="C350" s="63"/>
      <x:c r="D350" s="63"/>
      <x:c r="E350" s="63"/>
      <x:c r="F350" s="63"/>
      <x:c r="G350" s="63"/>
      <x:c r="H350" s="63"/>
      <x:c r="I350" s="63"/>
      <x:c r="J350" s="63"/>
      <x:c r="K350" s="63"/>
      <x:c r="L350" s="63"/>
      <x:c r="M350" s="63"/>
      <x:c r="N350" s="63"/>
      <x:c r="O350" s="63"/>
      <x:c r="P350" s="63"/>
      <x:c r="Q350" s="63"/>
      <x:c r="R350" s="63"/>
    </x:row>
    <x:row r="351">
      <x:c r="A351" s="63"/>
      <x:c r="B351" s="63"/>
      <x:c r="C351" s="63"/>
      <x:c r="D351" s="63"/>
      <x:c r="E351" s="63"/>
      <x:c r="F351" s="63"/>
      <x:c r="G351" s="63"/>
      <x:c r="H351" s="63"/>
      <x:c r="I351" s="63"/>
      <x:c r="J351" s="63"/>
      <x:c r="K351" s="63"/>
      <x:c r="L351" s="63"/>
      <x:c r="M351" s="63"/>
      <x:c r="N351" s="63"/>
      <x:c r="O351" s="63"/>
      <x:c r="P351" s="63"/>
      <x:c r="Q351" s="63"/>
      <x:c r="R351" s="63"/>
    </x:row>
    <x:row r="352">
      <x:c r="A352" s="63"/>
      <x:c r="B352" s="63"/>
      <x:c r="C352" s="63"/>
      <x:c r="D352" s="63"/>
      <x:c r="E352" s="63"/>
      <x:c r="F352" s="63"/>
      <x:c r="G352" s="63"/>
      <x:c r="H352" s="63"/>
      <x:c r="I352" s="63"/>
      <x:c r="J352" s="63"/>
      <x:c r="K352" s="63"/>
      <x:c r="L352" s="63"/>
      <x:c r="M352" s="63"/>
      <x:c r="N352" s="63"/>
      <x:c r="O352" s="63"/>
      <x:c r="P352" s="63"/>
      <x:c r="Q352" s="63"/>
      <x:c r="R352" s="63"/>
    </x:row>
    <x:row r="353">
      <x:c r="A353" s="63"/>
      <x:c r="B353" s="63"/>
      <x:c r="C353" s="63"/>
      <x:c r="D353" s="63"/>
      <x:c r="E353" s="63"/>
      <x:c r="F353" s="63"/>
      <x:c r="G353" s="63"/>
      <x:c r="H353" s="63"/>
      <x:c r="I353" s="63"/>
      <x:c r="J353" s="63"/>
      <x:c r="K353" s="63"/>
      <x:c r="L353" s="63"/>
      <x:c r="M353" s="63"/>
      <x:c r="N353" s="63"/>
      <x:c r="O353" s="63"/>
      <x:c r="P353" s="63"/>
      <x:c r="Q353" s="63"/>
      <x:c r="R353" s="63"/>
    </x:row>
    <x:row r="354">
      <x:c r="A354" s="63"/>
      <x:c r="B354" s="63"/>
      <x:c r="C354" s="63"/>
      <x:c r="D354" s="63"/>
      <x:c r="E354" s="63"/>
      <x:c r="F354" s="63"/>
      <x:c r="G354" s="63"/>
      <x:c r="H354" s="63"/>
      <x:c r="I354" s="63"/>
      <x:c r="J354" s="63"/>
      <x:c r="K354" s="63"/>
      <x:c r="L354" s="63"/>
      <x:c r="M354" s="63"/>
      <x:c r="N354" s="63"/>
      <x:c r="O354" s="63"/>
      <x:c r="P354" s="63"/>
      <x:c r="Q354" s="63"/>
      <x:c r="R354" s="63"/>
    </x:row>
    <x:row r="355">
      <x:c r="A355" s="63"/>
      <x:c r="B355" s="63"/>
      <x:c r="C355" s="63"/>
      <x:c r="D355" s="63"/>
      <x:c r="E355" s="63"/>
      <x:c r="F355" s="63"/>
      <x:c r="G355" s="63"/>
      <x:c r="H355" s="63"/>
      <x:c r="I355" s="63"/>
      <x:c r="J355" s="63"/>
      <x:c r="K355" s="63"/>
      <x:c r="L355" s="63"/>
      <x:c r="M355" s="63"/>
      <x:c r="N355" s="63"/>
      <x:c r="O355" s="63"/>
      <x:c r="P355" s="63"/>
      <x:c r="Q355" s="63"/>
      <x:c r="R355" s="63"/>
    </x:row>
    <x:row r="356">
      <x:c r="A356" s="63"/>
      <x:c r="B356" s="63"/>
      <x:c r="C356" s="63"/>
      <x:c r="D356" s="63"/>
      <x:c r="E356" s="63"/>
      <x:c r="F356" s="63"/>
      <x:c r="G356" s="63"/>
      <x:c r="H356" s="63"/>
      <x:c r="I356" s="63"/>
      <x:c r="J356" s="63"/>
      <x:c r="K356" s="63"/>
      <x:c r="L356" s="63"/>
      <x:c r="M356" s="63"/>
      <x:c r="N356" s="63"/>
      <x:c r="O356" s="63"/>
      <x:c r="P356" s="63"/>
      <x:c r="Q356" s="63"/>
      <x:c r="R356" s="63"/>
    </x:row>
    <x:row r="357">
      <x:c r="A357" s="63"/>
      <x:c r="B357" s="63"/>
      <x:c r="C357" s="63"/>
      <x:c r="D357" s="63"/>
      <x:c r="E357" s="63"/>
      <x:c r="F357" s="63"/>
      <x:c r="G357" s="63"/>
      <x:c r="H357" s="63"/>
      <x:c r="I357" s="63"/>
      <x:c r="J357" s="63"/>
      <x:c r="K357" s="63"/>
      <x:c r="L357" s="63"/>
      <x:c r="M357" s="63"/>
      <x:c r="N357" s="63"/>
      <x:c r="O357" s="63"/>
      <x:c r="P357" s="63"/>
      <x:c r="Q357" s="63"/>
      <x:c r="R357" s="63"/>
    </x:row>
    <x:row r="358">
      <x:c r="A358" s="63"/>
      <x:c r="B358" s="63"/>
      <x:c r="C358" s="63"/>
      <x:c r="D358" s="63"/>
      <x:c r="E358" s="63"/>
      <x:c r="F358" s="63"/>
      <x:c r="G358" s="63"/>
      <x:c r="H358" s="63"/>
      <x:c r="I358" s="63"/>
      <x:c r="J358" s="63"/>
      <x:c r="K358" s="63"/>
      <x:c r="L358" s="63"/>
      <x:c r="M358" s="63"/>
      <x:c r="N358" s="63"/>
      <x:c r="O358" s="63"/>
      <x:c r="P358" s="63"/>
      <x:c r="Q358" s="63"/>
      <x:c r="R358" s="63"/>
    </x:row>
    <x:row r="359">
      <x:c r="A359" s="63"/>
      <x:c r="B359" s="63"/>
      <x:c r="C359" s="63"/>
      <x:c r="D359" s="63"/>
      <x:c r="E359" s="63"/>
      <x:c r="F359" s="63"/>
      <x:c r="G359" s="63"/>
      <x:c r="H359" s="63"/>
      <x:c r="I359" s="63"/>
      <x:c r="J359" s="63"/>
      <x:c r="K359" s="63"/>
      <x:c r="L359" s="63"/>
      <x:c r="M359" s="63"/>
      <x:c r="N359" s="63"/>
      <x:c r="O359" s="63"/>
      <x:c r="P359" s="63"/>
      <x:c r="Q359" s="63"/>
      <x:c r="R359" s="63"/>
    </x:row>
    <x:row r="360">
      <x:c r="A360" s="63"/>
      <x:c r="B360" s="63"/>
      <x:c r="C360" s="63"/>
      <x:c r="D360" s="63"/>
      <x:c r="E360" s="63"/>
      <x:c r="F360" s="63"/>
      <x:c r="G360" s="63"/>
      <x:c r="H360" s="63"/>
      <x:c r="I360" s="63"/>
      <x:c r="J360" s="63"/>
      <x:c r="K360" s="63"/>
      <x:c r="L360" s="63"/>
      <x:c r="M360" s="63"/>
      <x:c r="N360" s="63"/>
      <x:c r="O360" s="63"/>
      <x:c r="P360" s="63"/>
      <x:c r="Q360" s="63"/>
      <x:c r="R360" s="63"/>
    </x:row>
    <x:row r="361">
      <x:c r="A361" s="63"/>
      <x:c r="B361" s="63"/>
      <x:c r="C361" s="63"/>
      <x:c r="D361" s="63"/>
      <x:c r="E361" s="63"/>
      <x:c r="F361" s="63"/>
      <x:c r="G361" s="63"/>
      <x:c r="H361" s="63"/>
      <x:c r="I361" s="63"/>
      <x:c r="J361" s="63"/>
      <x:c r="K361" s="63"/>
      <x:c r="L361" s="63"/>
      <x:c r="M361" s="63"/>
      <x:c r="N361" s="63"/>
      <x:c r="O361" s="63"/>
      <x:c r="P361" s="63"/>
      <x:c r="Q361" s="63"/>
      <x:c r="R361" s="63"/>
    </x:row>
    <x:row r="362">
      <x:c r="A362" s="63"/>
      <x:c r="B362" s="63"/>
      <x:c r="C362" s="63"/>
      <x:c r="D362" s="63"/>
      <x:c r="E362" s="63"/>
      <x:c r="F362" s="63"/>
      <x:c r="G362" s="63"/>
      <x:c r="H362" s="63"/>
      <x:c r="I362" s="63"/>
      <x:c r="J362" s="63"/>
      <x:c r="K362" s="63"/>
      <x:c r="L362" s="63"/>
      <x:c r="M362" s="63"/>
      <x:c r="N362" s="63"/>
      <x:c r="O362" s="63"/>
      <x:c r="P362" s="63"/>
      <x:c r="Q362" s="63"/>
      <x:c r="R362" s="63"/>
    </x:row>
    <x:row r="363">
      <x:c r="A363" s="63"/>
      <x:c r="B363" s="63"/>
      <x:c r="C363" s="63"/>
      <x:c r="D363" s="63"/>
      <x:c r="E363" s="63"/>
      <x:c r="F363" s="63"/>
      <x:c r="G363" s="63"/>
      <x:c r="H363" s="63"/>
      <x:c r="I363" s="63"/>
      <x:c r="J363" s="63"/>
      <x:c r="K363" s="63"/>
      <x:c r="L363" s="63"/>
      <x:c r="M363" s="63"/>
      <x:c r="N363" s="63"/>
      <x:c r="O363" s="63"/>
      <x:c r="P363" s="63"/>
      <x:c r="Q363" s="63"/>
      <x:c r="R363" s="63"/>
    </x:row>
    <x:row r="364">
      <x:c r="A364" s="63"/>
      <x:c r="B364" s="63"/>
      <x:c r="C364" s="63"/>
      <x:c r="D364" s="63"/>
      <x:c r="E364" s="63"/>
      <x:c r="F364" s="63"/>
      <x:c r="G364" s="63"/>
      <x:c r="H364" s="63"/>
      <x:c r="I364" s="63"/>
      <x:c r="J364" s="63"/>
      <x:c r="K364" s="63"/>
      <x:c r="L364" s="63"/>
      <x:c r="M364" s="63"/>
      <x:c r="N364" s="63"/>
      <x:c r="O364" s="63"/>
      <x:c r="P364" s="63"/>
      <x:c r="Q364" s="63"/>
      <x:c r="R364" s="63"/>
    </x:row>
    <x:row r="365">
      <x:c r="A365" s="63"/>
      <x:c r="B365" s="63"/>
      <x:c r="C365" s="63"/>
      <x:c r="D365" s="63"/>
      <x:c r="E365" s="63"/>
      <x:c r="F365" s="63"/>
      <x:c r="G365" s="63"/>
      <x:c r="H365" s="63"/>
      <x:c r="I365" s="63"/>
      <x:c r="J365" s="63"/>
      <x:c r="K365" s="63"/>
      <x:c r="L365" s="63"/>
      <x:c r="M365" s="63"/>
      <x:c r="N365" s="63"/>
      <x:c r="O365" s="63"/>
      <x:c r="P365" s="63"/>
      <x:c r="Q365" s="63"/>
      <x:c r="R365" s="63"/>
    </x:row>
    <x:row r="366">
      <x:c r="A366" s="63"/>
      <x:c r="B366" s="63"/>
      <x:c r="C366" s="63"/>
      <x:c r="D366" s="63"/>
      <x:c r="E366" s="63"/>
      <x:c r="F366" s="63"/>
      <x:c r="G366" s="63"/>
      <x:c r="H366" s="63"/>
      <x:c r="I366" s="63"/>
      <x:c r="J366" s="63"/>
      <x:c r="K366" s="63"/>
      <x:c r="L366" s="63"/>
      <x:c r="M366" s="63"/>
      <x:c r="N366" s="63"/>
      <x:c r="O366" s="63"/>
      <x:c r="P366" s="63"/>
      <x:c r="Q366" s="63"/>
      <x:c r="R366" s="63"/>
    </x:row>
    <x:row r="367">
      <x:c r="A367" s="63"/>
      <x:c r="B367" s="63"/>
      <x:c r="C367" s="63"/>
      <x:c r="D367" s="63"/>
      <x:c r="E367" s="63"/>
      <x:c r="F367" s="63"/>
      <x:c r="G367" s="63"/>
      <x:c r="H367" s="63"/>
      <x:c r="I367" s="63"/>
      <x:c r="J367" s="63"/>
      <x:c r="K367" s="63"/>
      <x:c r="L367" s="63"/>
      <x:c r="M367" s="63"/>
      <x:c r="N367" s="63"/>
      <x:c r="O367" s="63"/>
      <x:c r="P367" s="63"/>
      <x:c r="Q367" s="63"/>
      <x:c r="R367" s="63"/>
    </x:row>
    <x:row r="368">
      <x:c r="A368" s="63"/>
      <x:c r="B368" s="63"/>
      <x:c r="C368" s="63"/>
      <x:c r="D368" s="63"/>
      <x:c r="E368" s="63"/>
      <x:c r="F368" s="63"/>
      <x:c r="G368" s="63"/>
      <x:c r="H368" s="63"/>
      <x:c r="I368" s="63"/>
      <x:c r="J368" s="63"/>
      <x:c r="K368" s="63"/>
      <x:c r="L368" s="63"/>
      <x:c r="M368" s="63"/>
      <x:c r="N368" s="63"/>
      <x:c r="O368" s="63"/>
      <x:c r="P368" s="63"/>
      <x:c r="Q368" s="63"/>
      <x:c r="R368" s="63"/>
    </x:row>
    <x:row r="369">
      <x:c r="A369" s="63"/>
      <x:c r="B369" s="63"/>
      <x:c r="C369" s="63"/>
      <x:c r="D369" s="63"/>
      <x:c r="E369" s="63"/>
      <x:c r="F369" s="63"/>
      <x:c r="G369" s="63"/>
      <x:c r="H369" s="63"/>
      <x:c r="I369" s="63"/>
      <x:c r="J369" s="63"/>
      <x:c r="K369" s="63"/>
      <x:c r="L369" s="63"/>
      <x:c r="M369" s="63"/>
      <x:c r="N369" s="63"/>
      <x:c r="O369" s="63"/>
      <x:c r="P369" s="63"/>
      <x:c r="Q369" s="63"/>
      <x:c r="R369" s="63"/>
    </x:row>
    <x:row r="370">
      <x:c r="A370" s="63"/>
      <x:c r="B370" s="63"/>
      <x:c r="C370" s="63"/>
      <x:c r="D370" s="63"/>
      <x:c r="E370" s="63"/>
      <x:c r="F370" s="63"/>
      <x:c r="G370" s="63"/>
      <x:c r="H370" s="63"/>
      <x:c r="I370" s="63"/>
      <x:c r="J370" s="63"/>
      <x:c r="K370" s="63"/>
      <x:c r="L370" s="63"/>
      <x:c r="M370" s="63"/>
      <x:c r="N370" s="63"/>
      <x:c r="O370" s="63"/>
      <x:c r="P370" s="63"/>
      <x:c r="Q370" s="63"/>
      <x:c r="R370" s="63"/>
    </x:row>
    <x:row r="371">
      <x:c r="A371" s="63"/>
      <x:c r="B371" s="63"/>
      <x:c r="C371" s="63"/>
      <x:c r="D371" s="63"/>
      <x:c r="E371" s="63"/>
      <x:c r="F371" s="63"/>
      <x:c r="G371" s="63"/>
      <x:c r="H371" s="63"/>
      <x:c r="I371" s="63"/>
      <x:c r="J371" s="63"/>
      <x:c r="K371" s="63"/>
      <x:c r="L371" s="63"/>
      <x:c r="M371" s="63"/>
      <x:c r="N371" s="63"/>
      <x:c r="O371" s="63"/>
      <x:c r="P371" s="63"/>
      <x:c r="Q371" s="63"/>
      <x:c r="R371" s="63"/>
    </x:row>
    <x:row r="372">
      <x:c r="A372" s="63"/>
      <x:c r="B372" s="63"/>
      <x:c r="C372" s="63"/>
      <x:c r="D372" s="63"/>
      <x:c r="E372" s="63"/>
      <x:c r="F372" s="63"/>
      <x:c r="G372" s="63"/>
      <x:c r="H372" s="63"/>
      <x:c r="I372" s="63"/>
      <x:c r="J372" s="63"/>
      <x:c r="K372" s="63"/>
      <x:c r="L372" s="63"/>
      <x:c r="M372" s="63"/>
      <x:c r="N372" s="63"/>
      <x:c r="O372" s="63"/>
      <x:c r="P372" s="63"/>
      <x:c r="Q372" s="63"/>
      <x:c r="R372" s="63"/>
    </x:row>
    <x:row r="373">
      <x:c r="A373" s="63"/>
      <x:c r="B373" s="63"/>
      <x:c r="C373" s="63"/>
      <x:c r="D373" s="63"/>
      <x:c r="E373" s="63"/>
      <x:c r="F373" s="63"/>
      <x:c r="G373" s="63"/>
      <x:c r="H373" s="63"/>
      <x:c r="I373" s="63"/>
      <x:c r="J373" s="63"/>
      <x:c r="K373" s="63"/>
      <x:c r="L373" s="63"/>
      <x:c r="M373" s="63"/>
      <x:c r="N373" s="63"/>
      <x:c r="O373" s="63"/>
      <x:c r="P373" s="63"/>
      <x:c r="Q373" s="63"/>
      <x:c r="R373" s="63"/>
    </x:row>
    <x:row r="374">
      <x:c r="A374" s="63"/>
      <x:c r="B374" s="63"/>
      <x:c r="C374" s="63"/>
      <x:c r="D374" s="63"/>
      <x:c r="E374" s="63"/>
      <x:c r="F374" s="63"/>
      <x:c r="G374" s="63"/>
      <x:c r="H374" s="63"/>
      <x:c r="I374" s="63"/>
      <x:c r="J374" s="63"/>
      <x:c r="K374" s="63"/>
      <x:c r="L374" s="63"/>
      <x:c r="M374" s="63"/>
      <x:c r="N374" s="63"/>
      <x:c r="O374" s="63"/>
      <x:c r="P374" s="63"/>
      <x:c r="Q374" s="63"/>
      <x:c r="R374" s="63"/>
    </x:row>
    <x:row r="375">
      <x:c r="A375" s="63"/>
      <x:c r="B375" s="63"/>
      <x:c r="C375" s="63"/>
      <x:c r="D375" s="63"/>
      <x:c r="E375" s="63"/>
      <x:c r="F375" s="63"/>
      <x:c r="G375" s="63"/>
      <x:c r="H375" s="63"/>
      <x:c r="I375" s="63"/>
      <x:c r="J375" s="63"/>
      <x:c r="K375" s="63"/>
      <x:c r="L375" s="63"/>
      <x:c r="M375" s="63"/>
      <x:c r="N375" s="63"/>
      <x:c r="O375" s="63"/>
      <x:c r="P375" s="63"/>
      <x:c r="Q375" s="63"/>
      <x:c r="R375" s="63"/>
    </x:row>
    <x:row r="376">
      <x:c r="A376" s="63"/>
      <x:c r="B376" s="63"/>
      <x:c r="C376" s="63"/>
      <x:c r="D376" s="63"/>
      <x:c r="E376" s="63"/>
      <x:c r="F376" s="63"/>
      <x:c r="G376" s="63"/>
      <x:c r="H376" s="63"/>
      <x:c r="I376" s="63"/>
      <x:c r="J376" s="63"/>
      <x:c r="K376" s="63"/>
      <x:c r="L376" s="63"/>
      <x:c r="M376" s="63"/>
      <x:c r="N376" s="63"/>
      <x:c r="O376" s="63"/>
      <x:c r="P376" s="63"/>
      <x:c r="Q376" s="63"/>
      <x:c r="R376" s="63"/>
    </x:row>
    <x:row r="377">
      <x:c r="A377" s="63"/>
      <x:c r="B377" s="63"/>
      <x:c r="C377" s="63"/>
      <x:c r="D377" s="63"/>
      <x:c r="E377" s="63"/>
      <x:c r="F377" s="63"/>
      <x:c r="G377" s="63"/>
      <x:c r="H377" s="63"/>
      <x:c r="I377" s="63"/>
      <x:c r="J377" s="63"/>
      <x:c r="K377" s="63"/>
      <x:c r="L377" s="63"/>
      <x:c r="M377" s="63"/>
      <x:c r="N377" s="63"/>
      <x:c r="O377" s="63"/>
      <x:c r="P377" s="63"/>
      <x:c r="Q377" s="63"/>
      <x:c r="R377" s="63"/>
    </x:row>
    <x:row r="378">
      <x:c r="A378" s="63"/>
      <x:c r="B378" s="63"/>
      <x:c r="C378" s="63"/>
      <x:c r="D378" s="63"/>
      <x:c r="E378" s="63"/>
      <x:c r="F378" s="63"/>
      <x:c r="G378" s="63"/>
      <x:c r="H378" s="63"/>
      <x:c r="I378" s="63"/>
      <x:c r="J378" s="63"/>
      <x:c r="K378" s="63"/>
      <x:c r="L378" s="63"/>
      <x:c r="M378" s="63"/>
      <x:c r="N378" s="63"/>
      <x:c r="O378" s="63"/>
      <x:c r="P378" s="63"/>
      <x:c r="Q378" s="63"/>
      <x:c r="R378" s="63"/>
    </x:row>
    <x:row r="379">
      <x:c r="A379" s="63"/>
      <x:c r="B379" s="63"/>
      <x:c r="C379" s="63"/>
      <x:c r="D379" s="63"/>
      <x:c r="E379" s="63"/>
      <x:c r="F379" s="63"/>
      <x:c r="G379" s="63"/>
      <x:c r="H379" s="63"/>
      <x:c r="I379" s="63"/>
      <x:c r="J379" s="63"/>
      <x:c r="K379" s="63"/>
      <x:c r="L379" s="63"/>
      <x:c r="M379" s="63"/>
      <x:c r="N379" s="63"/>
      <x:c r="O379" s="63"/>
      <x:c r="P379" s="63"/>
      <x:c r="Q379" s="63"/>
      <x:c r="R379" s="63"/>
    </x:row>
    <x:row r="380">
      <x:c r="A380" s="63"/>
      <x:c r="B380" s="63"/>
      <x:c r="C380" s="63"/>
      <x:c r="D380" s="63"/>
      <x:c r="E380" s="63"/>
      <x:c r="F380" s="63"/>
      <x:c r="G380" s="63"/>
      <x:c r="H380" s="63"/>
      <x:c r="I380" s="63"/>
      <x:c r="J380" s="63"/>
      <x:c r="K380" s="63"/>
      <x:c r="L380" s="63"/>
      <x:c r="M380" s="63"/>
      <x:c r="N380" s="63"/>
      <x:c r="O380" s="63"/>
      <x:c r="P380" s="63"/>
      <x:c r="Q380" s="63"/>
      <x:c r="R380" s="63"/>
    </x:row>
    <x:row r="381">
      <x:c r="A381" s="63"/>
      <x:c r="B381" s="63"/>
      <x:c r="C381" s="63"/>
      <x:c r="D381" s="63"/>
      <x:c r="E381" s="63"/>
      <x:c r="F381" s="63"/>
      <x:c r="G381" s="63"/>
      <x:c r="H381" s="63"/>
      <x:c r="I381" s="63"/>
      <x:c r="J381" s="63"/>
      <x:c r="K381" s="63"/>
      <x:c r="L381" s="63"/>
      <x:c r="M381" s="63"/>
      <x:c r="N381" s="63"/>
      <x:c r="O381" s="63"/>
      <x:c r="P381" s="63"/>
      <x:c r="Q381" s="63"/>
      <x:c r="R381" s="63"/>
    </x:row>
    <x:row r="382">
      <x:c r="A382" s="63"/>
      <x:c r="B382" s="63"/>
      <x:c r="C382" s="63"/>
      <x:c r="D382" s="63"/>
      <x:c r="E382" s="63"/>
      <x:c r="F382" s="63"/>
      <x:c r="G382" s="63"/>
      <x:c r="H382" s="63"/>
      <x:c r="I382" s="63"/>
      <x:c r="J382" s="63"/>
      <x:c r="K382" s="63"/>
      <x:c r="L382" s="63"/>
      <x:c r="M382" s="63"/>
      <x:c r="N382" s="63"/>
      <x:c r="O382" s="63"/>
      <x:c r="P382" s="63"/>
      <x:c r="Q382" s="63"/>
      <x:c r="R382" s="63"/>
    </x:row>
    <x:row r="383">
      <x:c r="A383" s="63"/>
      <x:c r="B383" s="63"/>
      <x:c r="C383" s="63"/>
      <x:c r="D383" s="63"/>
      <x:c r="E383" s="63"/>
      <x:c r="F383" s="63"/>
      <x:c r="G383" s="63"/>
      <x:c r="H383" s="63"/>
      <x:c r="I383" s="63"/>
      <x:c r="J383" s="63"/>
      <x:c r="K383" s="63"/>
      <x:c r="L383" s="63"/>
      <x:c r="M383" s="63"/>
      <x:c r="N383" s="63"/>
      <x:c r="O383" s="63"/>
      <x:c r="P383" s="63"/>
      <x:c r="Q383" s="63"/>
      <x:c r="R383" s="63"/>
    </x:row>
    <x:row r="384">
      <x:c r="A384" s="63"/>
      <x:c r="B384" s="63"/>
      <x:c r="C384" s="63"/>
      <x:c r="D384" s="63"/>
      <x:c r="E384" s="63"/>
      <x:c r="F384" s="63"/>
      <x:c r="G384" s="63"/>
      <x:c r="H384" s="63"/>
      <x:c r="I384" s="63"/>
      <x:c r="J384" s="63"/>
      <x:c r="K384" s="63"/>
      <x:c r="L384" s="63"/>
      <x:c r="M384" s="63"/>
      <x:c r="N384" s="63"/>
      <x:c r="O384" s="63"/>
      <x:c r="P384" s="63"/>
      <x:c r="Q384" s="63"/>
      <x:c r="R384" s="63"/>
    </x:row>
    <x:row r="385">
      <x:c r="A385" s="63"/>
      <x:c r="B385" s="63"/>
      <x:c r="C385" s="63"/>
      <x:c r="D385" s="63"/>
      <x:c r="E385" s="63"/>
      <x:c r="F385" s="63"/>
      <x:c r="G385" s="63"/>
      <x:c r="H385" s="63"/>
      <x:c r="I385" s="63"/>
      <x:c r="J385" s="63"/>
      <x:c r="K385" s="63"/>
      <x:c r="L385" s="63"/>
      <x:c r="M385" s="63"/>
      <x:c r="N385" s="63"/>
      <x:c r="O385" s="63"/>
      <x:c r="P385" s="63"/>
      <x:c r="Q385" s="63"/>
      <x:c r="R385" s="63"/>
    </x:row>
    <x:row r="386">
      <x:c r="A386" s="63"/>
      <x:c r="B386" s="63"/>
      <x:c r="C386" s="63"/>
      <x:c r="D386" s="63"/>
      <x:c r="E386" s="63"/>
      <x:c r="F386" s="63"/>
      <x:c r="G386" s="63"/>
      <x:c r="H386" s="63"/>
      <x:c r="I386" s="63"/>
      <x:c r="J386" s="63"/>
      <x:c r="K386" s="63"/>
      <x:c r="L386" s="63"/>
      <x:c r="M386" s="63"/>
      <x:c r="N386" s="63"/>
      <x:c r="O386" s="63"/>
      <x:c r="P386" s="63"/>
      <x:c r="Q386" s="63"/>
      <x:c r="R386" s="63"/>
    </x:row>
    <x:row r="387">
      <x:c r="A387" s="63"/>
      <x:c r="B387" s="63"/>
      <x:c r="C387" s="63"/>
      <x:c r="D387" s="63"/>
      <x:c r="E387" s="63"/>
      <x:c r="F387" s="63"/>
      <x:c r="G387" s="63"/>
      <x:c r="H387" s="63"/>
      <x:c r="I387" s="63"/>
      <x:c r="J387" s="63"/>
      <x:c r="K387" s="63"/>
      <x:c r="L387" s="63"/>
      <x:c r="M387" s="63"/>
      <x:c r="N387" s="63"/>
      <x:c r="O387" s="63"/>
      <x:c r="P387" s="63"/>
      <x:c r="Q387" s="63"/>
      <x:c r="R387" s="63"/>
    </x:row>
    <x:row r="388">
      <x:c r="A388" s="63"/>
      <x:c r="B388" s="63"/>
      <x:c r="C388" s="63"/>
      <x:c r="D388" s="63"/>
      <x:c r="E388" s="63"/>
      <x:c r="F388" s="63"/>
      <x:c r="G388" s="63"/>
      <x:c r="H388" s="63"/>
      <x:c r="I388" s="63"/>
      <x:c r="J388" s="63"/>
      <x:c r="K388" s="63"/>
      <x:c r="L388" s="63"/>
      <x:c r="M388" s="63"/>
      <x:c r="N388" s="63"/>
      <x:c r="O388" s="63"/>
      <x:c r="P388" s="63"/>
      <x:c r="Q388" s="63"/>
      <x:c r="R388" s="63"/>
    </x:row>
    <x:row r="389">
      <x:c r="A389" s="63"/>
      <x:c r="B389" s="63"/>
      <x:c r="C389" s="63"/>
      <x:c r="D389" s="63"/>
      <x:c r="E389" s="63"/>
      <x:c r="F389" s="63"/>
      <x:c r="G389" s="63"/>
      <x:c r="H389" s="63"/>
      <x:c r="I389" s="63"/>
      <x:c r="J389" s="63"/>
      <x:c r="K389" s="63"/>
      <x:c r="L389" s="63"/>
      <x:c r="M389" s="63"/>
      <x:c r="N389" s="63"/>
      <x:c r="O389" s="63"/>
      <x:c r="P389" s="63"/>
      <x:c r="Q389" s="63"/>
      <x:c r="R389" s="63"/>
    </x:row>
    <x:row r="390">
      <x:c r="A390" s="63"/>
      <x:c r="B390" s="63"/>
      <x:c r="C390" s="63"/>
      <x:c r="D390" s="63"/>
      <x:c r="E390" s="63"/>
      <x:c r="F390" s="63"/>
      <x:c r="G390" s="63"/>
      <x:c r="H390" s="63"/>
      <x:c r="I390" s="63"/>
      <x:c r="J390" s="63"/>
      <x:c r="K390" s="63"/>
      <x:c r="L390" s="63"/>
      <x:c r="M390" s="63"/>
      <x:c r="N390" s="63"/>
      <x:c r="O390" s="63"/>
      <x:c r="P390" s="63"/>
      <x:c r="Q390" s="63"/>
      <x:c r="R390" s="63"/>
    </x:row>
    <x:row r="391">
      <x:c r="A391" s="63"/>
      <x:c r="B391" s="63"/>
      <x:c r="C391" s="63"/>
      <x:c r="D391" s="63"/>
      <x:c r="E391" s="63"/>
      <x:c r="F391" s="63"/>
      <x:c r="G391" s="63"/>
      <x:c r="H391" s="63"/>
      <x:c r="I391" s="63"/>
      <x:c r="J391" s="63"/>
      <x:c r="K391" s="63"/>
      <x:c r="L391" s="63"/>
      <x:c r="M391" s="63"/>
      <x:c r="N391" s="63"/>
      <x:c r="O391" s="63"/>
      <x:c r="P391" s="63"/>
      <x:c r="Q391" s="63"/>
      <x:c r="R391" s="63"/>
    </x:row>
    <x:row r="392">
      <x:c r="A392" s="63"/>
      <x:c r="B392" s="63"/>
      <x:c r="C392" s="63"/>
      <x:c r="D392" s="63"/>
      <x:c r="E392" s="63"/>
      <x:c r="F392" s="63"/>
      <x:c r="G392" s="63"/>
      <x:c r="H392" s="63"/>
      <x:c r="I392" s="63"/>
      <x:c r="J392" s="63"/>
      <x:c r="K392" s="63"/>
      <x:c r="L392" s="63"/>
      <x:c r="M392" s="63"/>
      <x:c r="N392" s="63"/>
      <x:c r="O392" s="63"/>
      <x:c r="P392" s="63"/>
      <x:c r="Q392" s="63"/>
      <x:c r="R392" s="63"/>
    </x:row>
    <x:row r="393">
      <x:c r="A393" s="63"/>
      <x:c r="B393" s="63"/>
      <x:c r="C393" s="63"/>
      <x:c r="D393" s="63"/>
      <x:c r="E393" s="63"/>
      <x:c r="F393" s="63"/>
      <x:c r="G393" s="63"/>
      <x:c r="H393" s="63"/>
      <x:c r="I393" s="63"/>
      <x:c r="J393" s="63"/>
      <x:c r="K393" s="63"/>
      <x:c r="L393" s="63"/>
      <x:c r="M393" s="63"/>
      <x:c r="N393" s="63"/>
      <x:c r="O393" s="63"/>
      <x:c r="P393" s="63"/>
      <x:c r="Q393" s="63"/>
      <x:c r="R393" s="63"/>
    </x:row>
    <x:row r="394">
      <x:c r="A394" s="63"/>
      <x:c r="B394" s="63"/>
      <x:c r="C394" s="63"/>
      <x:c r="D394" s="63"/>
      <x:c r="E394" s="63"/>
      <x:c r="F394" s="63"/>
      <x:c r="G394" s="63"/>
      <x:c r="H394" s="63"/>
      <x:c r="I394" s="63"/>
      <x:c r="J394" s="63"/>
      <x:c r="K394" s="63"/>
      <x:c r="L394" s="63"/>
      <x:c r="M394" s="63"/>
      <x:c r="N394" s="63"/>
      <x:c r="O394" s="63"/>
      <x:c r="P394" s="63"/>
      <x:c r="Q394" s="63"/>
      <x:c r="R394" s="63"/>
    </x:row>
    <x:row r="395">
      <x:c r="A395" s="63"/>
      <x:c r="B395" s="63"/>
      <x:c r="C395" s="63"/>
      <x:c r="D395" s="63"/>
      <x:c r="E395" s="63"/>
      <x:c r="F395" s="63"/>
      <x:c r="G395" s="63"/>
      <x:c r="H395" s="63"/>
      <x:c r="I395" s="63"/>
      <x:c r="J395" s="63"/>
      <x:c r="K395" s="63"/>
      <x:c r="L395" s="63"/>
      <x:c r="M395" s="63"/>
      <x:c r="N395" s="63"/>
      <x:c r="O395" s="63"/>
      <x:c r="P395" s="63"/>
      <x:c r="Q395" s="63"/>
      <x:c r="R395" s="63"/>
    </x:row>
    <x:row r="396">
      <x:c r="A396" s="63"/>
      <x:c r="B396" s="63"/>
      <x:c r="C396" s="63"/>
      <x:c r="D396" s="63"/>
      <x:c r="E396" s="63"/>
      <x:c r="F396" s="63"/>
      <x:c r="G396" s="63"/>
      <x:c r="H396" s="63"/>
      <x:c r="I396" s="63"/>
      <x:c r="J396" s="63"/>
      <x:c r="K396" s="63"/>
      <x:c r="L396" s="63"/>
      <x:c r="M396" s="63"/>
      <x:c r="N396" s="63"/>
      <x:c r="O396" s="63"/>
      <x:c r="P396" s="63"/>
      <x:c r="Q396" s="63"/>
      <x:c r="R396" s="63"/>
    </x:row>
    <x:row r="397">
      <x:c r="A397" s="63"/>
      <x:c r="B397" s="63"/>
      <x:c r="C397" s="63"/>
      <x:c r="D397" s="63"/>
      <x:c r="E397" s="63"/>
      <x:c r="F397" s="63"/>
      <x:c r="G397" s="63"/>
      <x:c r="H397" s="63"/>
      <x:c r="I397" s="63"/>
      <x:c r="J397" s="63"/>
      <x:c r="K397" s="63"/>
      <x:c r="L397" s="63"/>
      <x:c r="M397" s="63"/>
      <x:c r="N397" s="63"/>
      <x:c r="O397" s="63"/>
      <x:c r="P397" s="63"/>
      <x:c r="Q397" s="63"/>
      <x:c r="R397" s="63"/>
    </x:row>
    <x:row r="398">
      <x:c r="A398" s="63"/>
      <x:c r="B398" s="63"/>
      <x:c r="C398" s="63"/>
      <x:c r="D398" s="63"/>
      <x:c r="E398" s="63"/>
      <x:c r="F398" s="63"/>
      <x:c r="G398" s="63"/>
      <x:c r="H398" s="63"/>
      <x:c r="I398" s="63"/>
      <x:c r="J398" s="63"/>
      <x:c r="K398" s="63"/>
      <x:c r="L398" s="63"/>
      <x:c r="M398" s="63"/>
      <x:c r="N398" s="63"/>
      <x:c r="O398" s="63"/>
      <x:c r="P398" s="63"/>
      <x:c r="Q398" s="63"/>
      <x:c r="R398" s="63"/>
    </x:row>
    <x:row r="399">
      <x:c r="A399" s="63"/>
      <x:c r="B399" s="63"/>
      <x:c r="C399" s="63"/>
      <x:c r="D399" s="63"/>
      <x:c r="E399" s="63"/>
      <x:c r="F399" s="63"/>
      <x:c r="G399" s="63"/>
      <x:c r="H399" s="63"/>
      <x:c r="I399" s="63"/>
      <x:c r="J399" s="63"/>
      <x:c r="K399" s="63"/>
      <x:c r="L399" s="63"/>
      <x:c r="M399" s="63"/>
      <x:c r="N399" s="63"/>
      <x:c r="O399" s="63"/>
      <x:c r="P399" s="63"/>
      <x:c r="Q399" s="63"/>
      <x:c r="R399" s="63"/>
    </x:row>
    <x:row r="400">
      <x:c r="A400" s="63"/>
      <x:c r="B400" s="63"/>
      <x:c r="C400" s="63"/>
      <x:c r="D400" s="63"/>
      <x:c r="E400" s="63"/>
      <x:c r="F400" s="63"/>
      <x:c r="G400" s="63"/>
      <x:c r="H400" s="63"/>
      <x:c r="I400" s="63"/>
      <x:c r="J400" s="63"/>
      <x:c r="K400" s="63"/>
      <x:c r="L400" s="63"/>
      <x:c r="M400" s="63"/>
      <x:c r="N400" s="63"/>
      <x:c r="O400" s="63"/>
      <x:c r="P400" s="63"/>
      <x:c r="Q400" s="63"/>
      <x:c r="R400" s="63"/>
    </x:row>
    <x:row r="401">
      <x:c r="A401" s="63"/>
      <x:c r="B401" s="63"/>
      <x:c r="C401" s="63"/>
      <x:c r="D401" s="63"/>
      <x:c r="E401" s="63"/>
      <x:c r="F401" s="63"/>
      <x:c r="G401" s="63"/>
      <x:c r="H401" s="63"/>
      <x:c r="I401" s="63"/>
      <x:c r="J401" s="63"/>
      <x:c r="K401" s="63"/>
      <x:c r="L401" s="63"/>
      <x:c r="M401" s="63"/>
      <x:c r="N401" s="63"/>
      <x:c r="O401" s="63"/>
      <x:c r="P401" s="63"/>
      <x:c r="Q401" s="63"/>
      <x:c r="R401" s="63"/>
    </x:row>
    <x:row r="402">
      <x:c r="A402" s="63"/>
      <x:c r="B402" s="63"/>
      <x:c r="C402" s="63"/>
      <x:c r="D402" s="63"/>
      <x:c r="E402" s="63"/>
      <x:c r="F402" s="63"/>
      <x:c r="G402" s="63"/>
      <x:c r="H402" s="63"/>
      <x:c r="I402" s="63"/>
      <x:c r="J402" s="63"/>
      <x:c r="K402" s="63"/>
      <x:c r="L402" s="63"/>
      <x:c r="M402" s="63"/>
      <x:c r="N402" s="63"/>
      <x:c r="O402" s="63"/>
      <x:c r="P402" s="63"/>
      <x:c r="Q402" s="63"/>
      <x:c r="R402" s="63"/>
    </x:row>
    <x:row r="403">
      <x:c r="A403" s="63"/>
      <x:c r="B403" s="63"/>
      <x:c r="C403" s="63"/>
      <x:c r="D403" s="63"/>
      <x:c r="E403" s="63"/>
      <x:c r="F403" s="63"/>
      <x:c r="G403" s="63"/>
      <x:c r="H403" s="63"/>
      <x:c r="I403" s="63"/>
      <x:c r="J403" s="63"/>
      <x:c r="K403" s="63"/>
      <x:c r="L403" s="63"/>
      <x:c r="M403" s="63"/>
      <x:c r="N403" s="63"/>
      <x:c r="O403" s="63"/>
      <x:c r="P403" s="63"/>
      <x:c r="Q403" s="63"/>
      <x:c r="R403" s="63"/>
    </x:row>
    <x:row r="404">
      <x:c r="A404" s="63"/>
      <x:c r="B404" s="63"/>
      <x:c r="C404" s="63"/>
      <x:c r="D404" s="63"/>
      <x:c r="E404" s="63"/>
      <x:c r="F404" s="63"/>
      <x:c r="G404" s="63"/>
      <x:c r="H404" s="63"/>
      <x:c r="I404" s="63"/>
      <x:c r="J404" s="63"/>
      <x:c r="K404" s="63"/>
      <x:c r="L404" s="63"/>
      <x:c r="M404" s="63"/>
      <x:c r="N404" s="63"/>
      <x:c r="O404" s="63"/>
      <x:c r="P404" s="63"/>
      <x:c r="Q404" s="63"/>
      <x:c r="R404" s="63"/>
    </x:row>
    <x:row r="405">
      <x:c r="A405" s="63"/>
      <x:c r="B405" s="63"/>
      <x:c r="C405" s="63"/>
      <x:c r="D405" s="63"/>
      <x:c r="E405" s="63"/>
      <x:c r="F405" s="63"/>
      <x:c r="G405" s="63"/>
      <x:c r="H405" s="63"/>
      <x:c r="I405" s="63"/>
      <x:c r="J405" s="63"/>
      <x:c r="K405" s="63"/>
      <x:c r="L405" s="63"/>
      <x:c r="M405" s="63"/>
      <x:c r="N405" s="63"/>
      <x:c r="O405" s="63"/>
      <x:c r="P405" s="63"/>
      <x:c r="Q405" s="63"/>
      <x:c r="R405" s="63"/>
    </x:row>
    <x:row r="406">
      <x:c r="A406" s="63"/>
      <x:c r="B406" s="63"/>
      <x:c r="C406" s="63"/>
      <x:c r="D406" s="63"/>
      <x:c r="E406" s="63"/>
      <x:c r="F406" s="63"/>
      <x:c r="G406" s="63"/>
      <x:c r="H406" s="63"/>
      <x:c r="I406" s="63"/>
      <x:c r="J406" s="63"/>
      <x:c r="K406" s="63"/>
      <x:c r="L406" s="63"/>
      <x:c r="M406" s="63"/>
      <x:c r="N406" s="63"/>
      <x:c r="O406" s="63"/>
      <x:c r="P406" s="63"/>
      <x:c r="Q406" s="63"/>
      <x:c r="R406" s="63"/>
    </x:row>
    <x:row r="407">
      <x:c r="A407" s="63"/>
      <x:c r="B407" s="63"/>
      <x:c r="C407" s="63"/>
      <x:c r="D407" s="63"/>
      <x:c r="E407" s="63"/>
      <x:c r="F407" s="63"/>
      <x:c r="G407" s="63"/>
      <x:c r="H407" s="63"/>
      <x:c r="I407" s="63"/>
      <x:c r="J407" s="63"/>
      <x:c r="K407" s="63"/>
      <x:c r="L407" s="63"/>
      <x:c r="M407" s="63"/>
      <x:c r="N407" s="63"/>
      <x:c r="O407" s="63"/>
      <x:c r="P407" s="63"/>
      <x:c r="Q407" s="63"/>
      <x:c r="R407" s="63"/>
    </x:row>
    <x:row r="408">
      <x:c r="A408" s="63"/>
      <x:c r="B408" s="63"/>
      <x:c r="C408" s="63"/>
      <x:c r="D408" s="63"/>
      <x:c r="E408" s="63"/>
      <x:c r="F408" s="63"/>
      <x:c r="G408" s="63"/>
      <x:c r="H408" s="63"/>
      <x:c r="I408" s="63"/>
      <x:c r="J408" s="63"/>
      <x:c r="K408" s="63"/>
      <x:c r="L408" s="63"/>
      <x:c r="M408" s="63"/>
      <x:c r="N408" s="63"/>
      <x:c r="O408" s="63"/>
      <x:c r="P408" s="63"/>
      <x:c r="Q408" s="63"/>
      <x:c r="R408" s="63"/>
    </x:row>
    <x:row r="409">
      <x:c r="A409" s="63"/>
      <x:c r="B409" s="63"/>
      <x:c r="C409" s="63"/>
      <x:c r="D409" s="63"/>
      <x:c r="E409" s="63"/>
      <x:c r="F409" s="63"/>
      <x:c r="G409" s="63"/>
      <x:c r="H409" s="63"/>
      <x:c r="I409" s="63"/>
      <x:c r="J409" s="63"/>
      <x:c r="K409" s="63"/>
      <x:c r="L409" s="63"/>
      <x:c r="M409" s="63"/>
      <x:c r="N409" s="63"/>
      <x:c r="O409" s="63"/>
      <x:c r="P409" s="63"/>
      <x:c r="Q409" s="63"/>
      <x:c r="R409" s="63"/>
    </x:row>
    <x:row r="410">
      <x:c r="A410" s="63"/>
      <x:c r="B410" s="63"/>
      <x:c r="C410" s="63"/>
      <x:c r="D410" s="63"/>
      <x:c r="E410" s="63"/>
      <x:c r="F410" s="63"/>
      <x:c r="G410" s="63"/>
      <x:c r="H410" s="63"/>
      <x:c r="I410" s="63"/>
      <x:c r="J410" s="63"/>
      <x:c r="K410" s="63"/>
      <x:c r="L410" s="63"/>
      <x:c r="M410" s="63"/>
      <x:c r="N410" s="63"/>
      <x:c r="O410" s="63"/>
      <x:c r="P410" s="63"/>
      <x:c r="Q410" s="63"/>
      <x:c r="R410" s="63"/>
    </x:row>
    <x:row r="411">
      <x:c r="A411" s="63"/>
      <x:c r="B411" s="63"/>
      <x:c r="C411" s="63"/>
      <x:c r="D411" s="63"/>
      <x:c r="E411" s="63"/>
      <x:c r="F411" s="63"/>
      <x:c r="G411" s="63"/>
      <x:c r="H411" s="63"/>
      <x:c r="I411" s="63"/>
      <x:c r="J411" s="63"/>
      <x:c r="K411" s="63"/>
      <x:c r="L411" s="63"/>
      <x:c r="M411" s="63"/>
      <x:c r="N411" s="63"/>
      <x:c r="O411" s="63"/>
      <x:c r="P411" s="63"/>
      <x:c r="Q411" s="63"/>
      <x:c r="R411" s="63"/>
    </x:row>
    <x:row r="412">
      <x:c r="A412" s="63"/>
      <x:c r="B412" s="63"/>
      <x:c r="C412" s="63"/>
      <x:c r="D412" s="63"/>
      <x:c r="E412" s="63"/>
      <x:c r="F412" s="63"/>
      <x:c r="G412" s="63"/>
      <x:c r="H412" s="63"/>
      <x:c r="I412" s="63"/>
      <x:c r="J412" s="63"/>
      <x:c r="K412" s="63"/>
      <x:c r="L412" s="63"/>
      <x:c r="M412" s="63"/>
      <x:c r="N412" s="63"/>
      <x:c r="O412" s="63"/>
      <x:c r="P412" s="63"/>
      <x:c r="Q412" s="63"/>
      <x:c r="R412" s="63"/>
    </x:row>
    <x:row r="413">
      <x:c r="A413" s="63"/>
      <x:c r="B413" s="63"/>
      <x:c r="C413" s="63"/>
      <x:c r="D413" s="63"/>
      <x:c r="E413" s="63"/>
      <x:c r="F413" s="63"/>
      <x:c r="G413" s="63"/>
      <x:c r="H413" s="63"/>
      <x:c r="I413" s="63"/>
      <x:c r="J413" s="63"/>
      <x:c r="K413" s="63"/>
      <x:c r="L413" s="63"/>
      <x:c r="M413" s="63"/>
      <x:c r="N413" s="63"/>
      <x:c r="O413" s="63"/>
      <x:c r="P413" s="63"/>
      <x:c r="Q413" s="63"/>
      <x:c r="R413" s="63"/>
    </x:row>
    <x:row r="414">
      <x:c r="A414" s="63"/>
      <x:c r="B414" s="63"/>
      <x:c r="C414" s="63"/>
      <x:c r="D414" s="63"/>
      <x:c r="E414" s="63"/>
      <x:c r="F414" s="63"/>
      <x:c r="G414" s="63"/>
      <x:c r="H414" s="63"/>
      <x:c r="I414" s="63"/>
      <x:c r="J414" s="63"/>
      <x:c r="K414" s="63"/>
      <x:c r="L414" s="63"/>
      <x:c r="M414" s="63"/>
      <x:c r="N414" s="63"/>
      <x:c r="O414" s="63"/>
      <x:c r="P414" s="63"/>
      <x:c r="Q414" s="63"/>
      <x:c r="R414" s="63"/>
    </x:row>
    <x:row r="415">
      <x:c r="A415" s="63"/>
      <x:c r="B415" s="63"/>
      <x:c r="C415" s="63"/>
      <x:c r="D415" s="63"/>
      <x:c r="E415" s="63"/>
      <x:c r="F415" s="63"/>
      <x:c r="G415" s="63"/>
      <x:c r="H415" s="63"/>
      <x:c r="I415" s="63"/>
      <x:c r="J415" s="63"/>
      <x:c r="K415" s="63"/>
      <x:c r="L415" s="63"/>
      <x:c r="M415" s="63"/>
      <x:c r="N415" s="63"/>
      <x:c r="O415" s="63"/>
      <x:c r="P415" s="63"/>
      <x:c r="Q415" s="63"/>
      <x:c r="R415" s="63"/>
    </x:row>
    <x:row r="416">
      <x:c r="A416" s="63"/>
      <x:c r="B416" s="63"/>
      <x:c r="C416" s="63"/>
      <x:c r="D416" s="63"/>
      <x:c r="E416" s="63"/>
      <x:c r="F416" s="63"/>
      <x:c r="G416" s="63"/>
      <x:c r="H416" s="63"/>
      <x:c r="I416" s="63"/>
      <x:c r="J416" s="63"/>
      <x:c r="K416" s="63"/>
      <x:c r="L416" s="63"/>
      <x:c r="M416" s="63"/>
      <x:c r="N416" s="63"/>
      <x:c r="O416" s="63"/>
      <x:c r="P416" s="63"/>
      <x:c r="Q416" s="63"/>
      <x:c r="R416" s="63"/>
    </x:row>
    <x:row r="417">
      <x:c r="A417" s="63"/>
      <x:c r="B417" s="63"/>
      <x:c r="C417" s="63"/>
      <x:c r="D417" s="63"/>
      <x:c r="E417" s="63"/>
      <x:c r="F417" s="63"/>
      <x:c r="G417" s="63"/>
      <x:c r="H417" s="63"/>
      <x:c r="I417" s="63"/>
      <x:c r="J417" s="63"/>
      <x:c r="K417" s="63"/>
      <x:c r="L417" s="63"/>
      <x:c r="M417" s="63"/>
      <x:c r="N417" s="63"/>
      <x:c r="O417" s="63"/>
      <x:c r="P417" s="63"/>
      <x:c r="Q417" s="63"/>
      <x:c r="R417" s="63"/>
    </x:row>
    <x:row r="418">
      <x:c r="A418" s="63"/>
      <x:c r="B418" s="63"/>
      <x:c r="C418" s="63"/>
      <x:c r="D418" s="63"/>
      <x:c r="E418" s="63"/>
      <x:c r="F418" s="63"/>
      <x:c r="G418" s="63"/>
      <x:c r="H418" s="63"/>
      <x:c r="I418" s="63"/>
      <x:c r="J418" s="63"/>
      <x:c r="K418" s="63"/>
      <x:c r="L418" s="63"/>
      <x:c r="M418" s="63"/>
      <x:c r="N418" s="63"/>
      <x:c r="O418" s="63"/>
      <x:c r="P418" s="63"/>
      <x:c r="Q418" s="63"/>
      <x:c r="R418" s="63"/>
    </x:row>
    <x:row r="419">
      <x:c r="A419" s="63"/>
      <x:c r="B419" s="63"/>
      <x:c r="C419" s="63"/>
      <x:c r="D419" s="63"/>
      <x:c r="E419" s="63"/>
      <x:c r="F419" s="63"/>
      <x:c r="G419" s="63"/>
      <x:c r="H419" s="63"/>
      <x:c r="I419" s="63"/>
      <x:c r="J419" s="63"/>
      <x:c r="K419" s="63"/>
      <x:c r="L419" s="63"/>
      <x:c r="M419" s="63"/>
      <x:c r="N419" s="63"/>
      <x:c r="O419" s="63"/>
      <x:c r="P419" s="63"/>
      <x:c r="Q419" s="63"/>
      <x:c r="R419" s="63"/>
    </x:row>
    <x:row r="420">
      <x:c r="A420" s="63"/>
      <x:c r="B420" s="63"/>
      <x:c r="C420" s="63"/>
      <x:c r="D420" s="63"/>
      <x:c r="E420" s="63"/>
      <x:c r="F420" s="63"/>
      <x:c r="G420" s="63"/>
      <x:c r="H420" s="63"/>
      <x:c r="I420" s="63"/>
      <x:c r="J420" s="63"/>
      <x:c r="K420" s="63"/>
      <x:c r="L420" s="63"/>
      <x:c r="M420" s="63"/>
      <x:c r="N420" s="63"/>
      <x:c r="O420" s="63"/>
      <x:c r="P420" s="63"/>
      <x:c r="Q420" s="63"/>
      <x:c r="R420" s="63"/>
    </x:row>
    <x:row r="421">
      <x:c r="A421" s="63"/>
      <x:c r="B421" s="63"/>
      <x:c r="C421" s="63"/>
      <x:c r="D421" s="63"/>
      <x:c r="E421" s="63"/>
      <x:c r="F421" s="63"/>
      <x:c r="G421" s="63"/>
      <x:c r="H421" s="63"/>
      <x:c r="I421" s="63"/>
      <x:c r="J421" s="63"/>
      <x:c r="K421" s="63"/>
      <x:c r="L421" s="63"/>
      <x:c r="M421" s="63"/>
      <x:c r="N421" s="63"/>
      <x:c r="O421" s="63"/>
      <x:c r="P421" s="63"/>
      <x:c r="Q421" s="63"/>
      <x:c r="R421" s="63"/>
    </x:row>
    <x:row r="422">
      <x:c r="A422" s="63"/>
      <x:c r="B422" s="63"/>
      <x:c r="C422" s="63"/>
      <x:c r="D422" s="63"/>
      <x:c r="E422" s="63"/>
      <x:c r="F422" s="63"/>
      <x:c r="G422" s="63"/>
      <x:c r="H422" s="63"/>
      <x:c r="I422" s="63"/>
      <x:c r="J422" s="63"/>
      <x:c r="K422" s="63"/>
      <x:c r="L422" s="63"/>
      <x:c r="M422" s="63"/>
      <x:c r="N422" s="63"/>
      <x:c r="O422" s="63"/>
      <x:c r="P422" s="63"/>
      <x:c r="Q422" s="63"/>
      <x:c r="R422" s="63"/>
    </x:row>
    <x:row r="423">
      <x:c r="A423" s="63"/>
      <x:c r="B423" s="63"/>
      <x:c r="C423" s="63"/>
      <x:c r="D423" s="63"/>
      <x:c r="E423" s="63"/>
      <x:c r="F423" s="63"/>
      <x:c r="G423" s="63"/>
      <x:c r="H423" s="63"/>
      <x:c r="I423" s="63"/>
      <x:c r="J423" s="63"/>
      <x:c r="K423" s="63"/>
      <x:c r="L423" s="63"/>
      <x:c r="M423" s="63"/>
      <x:c r="N423" s="63"/>
      <x:c r="O423" s="63"/>
      <x:c r="P423" s="63"/>
      <x:c r="Q423" s="63"/>
      <x:c r="R423" s="63"/>
    </x:row>
    <x:row r="424">
      <x:c r="A424" s="63"/>
      <x:c r="B424" s="63"/>
      <x:c r="C424" s="63"/>
      <x:c r="D424" s="63"/>
      <x:c r="E424" s="63"/>
      <x:c r="F424" s="63"/>
      <x:c r="G424" s="63"/>
      <x:c r="H424" s="63"/>
      <x:c r="I424" s="63"/>
      <x:c r="J424" s="63"/>
      <x:c r="K424" s="63"/>
      <x:c r="L424" s="63"/>
      <x:c r="M424" s="63"/>
      <x:c r="N424" s="63"/>
      <x:c r="O424" s="63"/>
      <x:c r="P424" s="63"/>
      <x:c r="Q424" s="63"/>
      <x:c r="R424" s="63"/>
    </x:row>
    <x:row r="425">
      <x:c r="A425" s="63"/>
      <x:c r="B425" s="63"/>
      <x:c r="C425" s="63"/>
      <x:c r="D425" s="63"/>
      <x:c r="E425" s="63"/>
      <x:c r="F425" s="63"/>
      <x:c r="G425" s="63"/>
      <x:c r="H425" s="63"/>
      <x:c r="I425" s="63"/>
      <x:c r="J425" s="63"/>
      <x:c r="K425" s="63"/>
      <x:c r="L425" s="63"/>
      <x:c r="M425" s="63"/>
      <x:c r="N425" s="63"/>
      <x:c r="O425" s="63"/>
      <x:c r="P425" s="63"/>
      <x:c r="Q425" s="63"/>
      <x:c r="R425" s="63"/>
    </x:row>
    <x:row r="426">
      <x:c r="A426" s="63"/>
      <x:c r="B426" s="63"/>
      <x:c r="C426" s="63"/>
      <x:c r="D426" s="63"/>
      <x:c r="E426" s="63"/>
      <x:c r="F426" s="63"/>
      <x:c r="G426" s="63"/>
      <x:c r="H426" s="63"/>
      <x:c r="I426" s="63"/>
      <x:c r="J426" s="63"/>
      <x:c r="K426" s="63"/>
      <x:c r="L426" s="63"/>
      <x:c r="M426" s="63"/>
      <x:c r="N426" s="63"/>
      <x:c r="O426" s="63"/>
      <x:c r="P426" s="63"/>
      <x:c r="Q426" s="63"/>
      <x:c r="R426" s="63"/>
    </x:row>
    <x:row r="427">
      <x:c r="A427" s="63"/>
      <x:c r="B427" s="63"/>
      <x:c r="C427" s="63"/>
      <x:c r="D427" s="63"/>
      <x:c r="E427" s="63"/>
      <x:c r="F427" s="63"/>
      <x:c r="G427" s="63"/>
      <x:c r="H427" s="63"/>
      <x:c r="I427" s="63"/>
      <x:c r="J427" s="63"/>
      <x:c r="K427" s="63"/>
      <x:c r="L427" s="63"/>
      <x:c r="M427" s="63"/>
      <x:c r="N427" s="63"/>
      <x:c r="O427" s="63"/>
      <x:c r="P427" s="63"/>
      <x:c r="Q427" s="63"/>
      <x:c r="R427" s="63"/>
    </x:row>
    <x:row r="428">
      <x:c r="A428" s="63"/>
      <x:c r="B428" s="63"/>
      <x:c r="C428" s="63"/>
      <x:c r="D428" s="63"/>
      <x:c r="E428" s="63"/>
      <x:c r="F428" s="63"/>
      <x:c r="G428" s="63"/>
      <x:c r="H428" s="63"/>
      <x:c r="I428" s="63"/>
      <x:c r="J428" s="63"/>
      <x:c r="K428" s="63"/>
      <x:c r="L428" s="63"/>
      <x:c r="M428" s="63"/>
      <x:c r="N428" s="63"/>
      <x:c r="O428" s="63"/>
      <x:c r="P428" s="63"/>
      <x:c r="Q428" s="63"/>
      <x:c r="R428" s="63"/>
    </x:row>
    <x:row r="429">
      <x:c r="A429" s="63"/>
      <x:c r="B429" s="63"/>
      <x:c r="C429" s="63"/>
      <x:c r="D429" s="63"/>
      <x:c r="E429" s="63"/>
      <x:c r="F429" s="63"/>
      <x:c r="G429" s="63"/>
      <x:c r="H429" s="63"/>
      <x:c r="I429" s="63"/>
      <x:c r="J429" s="63"/>
      <x:c r="K429" s="63"/>
      <x:c r="L429" s="63"/>
      <x:c r="M429" s="63"/>
      <x:c r="N429" s="63"/>
      <x:c r="O429" s="63"/>
      <x:c r="P429" s="63"/>
      <x:c r="Q429" s="63"/>
      <x:c r="R429" s="63"/>
    </x:row>
    <x:row r="430">
      <x:c r="A430" s="63"/>
      <x:c r="B430" s="63"/>
      <x:c r="C430" s="63"/>
      <x:c r="D430" s="63"/>
      <x:c r="E430" s="63"/>
      <x:c r="F430" s="63"/>
      <x:c r="G430" s="63"/>
      <x:c r="H430" s="63"/>
      <x:c r="I430" s="63"/>
      <x:c r="J430" s="63"/>
      <x:c r="K430" s="63"/>
      <x:c r="L430" s="63"/>
      <x:c r="M430" s="63"/>
      <x:c r="N430" s="63"/>
      <x:c r="O430" s="63"/>
      <x:c r="P430" s="63"/>
      <x:c r="Q430" s="63"/>
      <x:c r="R430" s="63"/>
    </x:row>
    <x:row r="431">
      <x:c r="A431" s="63"/>
      <x:c r="B431" s="63"/>
      <x:c r="C431" s="63"/>
      <x:c r="D431" s="63"/>
      <x:c r="E431" s="63"/>
      <x:c r="F431" s="63"/>
      <x:c r="G431" s="63"/>
      <x:c r="H431" s="63"/>
      <x:c r="I431" s="63"/>
      <x:c r="J431" s="63"/>
      <x:c r="K431" s="63"/>
      <x:c r="L431" s="63"/>
      <x:c r="M431" s="63"/>
      <x:c r="N431" s="63"/>
      <x:c r="O431" s="63"/>
      <x:c r="P431" s="63"/>
      <x:c r="Q431" s="63"/>
      <x:c r="R431" s="63"/>
    </x:row>
    <x:row r="432">
      <x:c r="A432" s="63"/>
      <x:c r="B432" s="63"/>
      <x:c r="C432" s="63"/>
      <x:c r="D432" s="63"/>
      <x:c r="E432" s="63"/>
      <x:c r="F432" s="63"/>
      <x:c r="G432" s="63"/>
      <x:c r="H432" s="63"/>
      <x:c r="I432" s="63"/>
      <x:c r="J432" s="63"/>
      <x:c r="K432" s="63"/>
      <x:c r="L432" s="63"/>
      <x:c r="M432" s="63"/>
      <x:c r="N432" s="63"/>
      <x:c r="O432" s="63"/>
      <x:c r="P432" s="63"/>
      <x:c r="Q432" s="63"/>
      <x:c r="R432" s="63"/>
    </x:row>
    <x:row r="433">
      <x:c r="A433" s="63"/>
      <x:c r="B433" s="63"/>
      <x:c r="C433" s="63"/>
      <x:c r="D433" s="63"/>
      <x:c r="E433" s="63"/>
      <x:c r="F433" s="63"/>
      <x:c r="G433" s="63"/>
      <x:c r="H433" s="63"/>
      <x:c r="I433" s="63"/>
      <x:c r="J433" s="63"/>
      <x:c r="K433" s="63"/>
      <x:c r="L433" s="63"/>
      <x:c r="M433" s="63"/>
      <x:c r="N433" s="63"/>
      <x:c r="O433" s="63"/>
      <x:c r="P433" s="63"/>
      <x:c r="Q433" s="63"/>
      <x:c r="R433" s="63"/>
    </x:row>
    <x:row r="434">
      <x:c r="A434" s="63"/>
      <x:c r="B434" s="63"/>
      <x:c r="C434" s="63"/>
      <x:c r="D434" s="63"/>
      <x:c r="E434" s="63"/>
      <x:c r="F434" s="63"/>
      <x:c r="G434" s="63"/>
      <x:c r="H434" s="63"/>
      <x:c r="I434" s="63"/>
      <x:c r="J434" s="63"/>
      <x:c r="K434" s="63"/>
      <x:c r="L434" s="63"/>
      <x:c r="M434" s="63"/>
      <x:c r="N434" s="63"/>
      <x:c r="O434" s="63"/>
      <x:c r="P434" s="63"/>
      <x:c r="Q434" s="63"/>
      <x:c r="R434" s="63"/>
    </x:row>
    <x:row r="435">
      <x:c r="A435" s="63"/>
      <x:c r="B435" s="63"/>
      <x:c r="C435" s="63"/>
      <x:c r="D435" s="63"/>
      <x:c r="E435" s="63"/>
      <x:c r="F435" s="63"/>
      <x:c r="G435" s="63"/>
      <x:c r="H435" s="63"/>
      <x:c r="I435" s="63"/>
      <x:c r="J435" s="63"/>
      <x:c r="K435" s="63"/>
      <x:c r="L435" s="63"/>
      <x:c r="M435" s="63"/>
      <x:c r="N435" s="63"/>
      <x:c r="O435" s="63"/>
      <x:c r="P435" s="63"/>
      <x:c r="Q435" s="63"/>
      <x:c r="R435" s="63"/>
    </x:row>
    <x:row r="436">
      <x:c r="A436" s="63"/>
      <x:c r="B436" s="63"/>
      <x:c r="C436" s="63"/>
      <x:c r="D436" s="63"/>
      <x:c r="E436" s="63"/>
      <x:c r="F436" s="63"/>
      <x:c r="G436" s="63"/>
      <x:c r="H436" s="63"/>
      <x:c r="I436" s="63"/>
      <x:c r="J436" s="63"/>
      <x:c r="K436" s="63"/>
      <x:c r="L436" s="63"/>
      <x:c r="M436" s="63"/>
      <x:c r="N436" s="63"/>
      <x:c r="O436" s="63"/>
      <x:c r="P436" s="63"/>
      <x:c r="Q436" s="63"/>
      <x:c r="R436" s="63"/>
    </x:row>
    <x:row r="437">
      <x:c r="A437" s="63"/>
      <x:c r="B437" s="63"/>
      <x:c r="C437" s="63"/>
      <x:c r="D437" s="63"/>
      <x:c r="E437" s="63"/>
      <x:c r="F437" s="63"/>
      <x:c r="G437" s="63"/>
      <x:c r="H437" s="63"/>
      <x:c r="I437" s="63"/>
      <x:c r="J437" s="63"/>
      <x:c r="K437" s="63"/>
      <x:c r="L437" s="63"/>
      <x:c r="M437" s="63"/>
      <x:c r="N437" s="63"/>
      <x:c r="O437" s="63"/>
      <x:c r="P437" s="63"/>
      <x:c r="Q437" s="63"/>
      <x:c r="R437" s="63"/>
    </x:row>
    <x:row r="438">
      <x:c r="A438" s="63"/>
      <x:c r="B438" s="63"/>
      <x:c r="C438" s="63"/>
      <x:c r="D438" s="63"/>
      <x:c r="E438" s="63"/>
      <x:c r="F438" s="63"/>
      <x:c r="G438" s="63"/>
      <x:c r="H438" s="63"/>
      <x:c r="I438" s="63"/>
      <x:c r="J438" s="63"/>
      <x:c r="K438" s="63"/>
      <x:c r="L438" s="63"/>
      <x:c r="M438" s="63"/>
      <x:c r="N438" s="63"/>
      <x:c r="O438" s="63"/>
      <x:c r="P438" s="63"/>
      <x:c r="Q438" s="63"/>
      <x:c r="R438" s="63"/>
    </x:row>
    <x:row r="439">
      <x:c r="A439" s="63"/>
      <x:c r="B439" s="63"/>
      <x:c r="C439" s="63"/>
      <x:c r="D439" s="63"/>
      <x:c r="E439" s="63"/>
      <x:c r="F439" s="63"/>
      <x:c r="G439" s="63"/>
      <x:c r="H439" s="63"/>
      <x:c r="I439" s="63"/>
      <x:c r="J439" s="63"/>
      <x:c r="K439" s="63"/>
      <x:c r="L439" s="63"/>
      <x:c r="M439" s="63"/>
      <x:c r="N439" s="63"/>
      <x:c r="O439" s="63"/>
      <x:c r="P439" s="63"/>
      <x:c r="Q439" s="63"/>
      <x:c r="R439" s="63"/>
    </x:row>
    <x:row r="440">
      <x:c r="A440" s="63"/>
      <x:c r="B440" s="63"/>
      <x:c r="C440" s="63"/>
      <x:c r="D440" s="63"/>
      <x:c r="E440" s="63"/>
      <x:c r="F440" s="63"/>
      <x:c r="G440" s="63"/>
      <x:c r="H440" s="63"/>
      <x:c r="I440" s="63"/>
      <x:c r="J440" s="63"/>
      <x:c r="K440" s="63"/>
      <x:c r="L440" s="63"/>
      <x:c r="M440" s="63"/>
      <x:c r="N440" s="63"/>
      <x:c r="O440" s="63"/>
      <x:c r="P440" s="63"/>
      <x:c r="Q440" s="63"/>
      <x:c r="R440" s="63"/>
    </x:row>
    <x:row r="441">
      <x:c r="A441" s="63"/>
      <x:c r="B441" s="63"/>
      <x:c r="C441" s="63"/>
      <x:c r="D441" s="63"/>
      <x:c r="E441" s="63"/>
      <x:c r="F441" s="63"/>
      <x:c r="G441" s="63"/>
      <x:c r="H441" s="63"/>
      <x:c r="I441" s="63"/>
      <x:c r="J441" s="63"/>
      <x:c r="K441" s="63"/>
      <x:c r="L441" s="63"/>
      <x:c r="M441" s="63"/>
      <x:c r="N441" s="63"/>
      <x:c r="O441" s="63"/>
      <x:c r="P441" s="63"/>
      <x:c r="Q441" s="63"/>
      <x:c r="R441" s="63"/>
    </x:row>
    <x:row r="442">
      <x:c r="A442" s="63"/>
      <x:c r="B442" s="63"/>
      <x:c r="C442" s="63"/>
      <x:c r="D442" s="63"/>
      <x:c r="E442" s="63"/>
      <x:c r="F442" s="63"/>
      <x:c r="G442" s="63"/>
      <x:c r="H442" s="63"/>
      <x:c r="I442" s="63"/>
      <x:c r="J442" s="63"/>
      <x:c r="K442" s="63"/>
      <x:c r="L442" s="63"/>
      <x:c r="M442" s="63"/>
      <x:c r="N442" s="63"/>
      <x:c r="O442" s="63"/>
      <x:c r="P442" s="63"/>
      <x:c r="Q442" s="63"/>
      <x:c r="R442" s="63"/>
    </x:row>
    <x:row r="443">
      <x:c r="A443" s="63"/>
      <x:c r="B443" s="63"/>
      <x:c r="C443" s="63"/>
      <x:c r="D443" s="63"/>
      <x:c r="E443" s="63"/>
      <x:c r="F443" s="63"/>
      <x:c r="G443" s="63"/>
      <x:c r="H443" s="63"/>
      <x:c r="I443" s="63"/>
      <x:c r="J443" s="63"/>
      <x:c r="K443" s="63"/>
      <x:c r="L443" s="63"/>
      <x:c r="M443" s="63"/>
      <x:c r="N443" s="63"/>
      <x:c r="O443" s="63"/>
      <x:c r="P443" s="63"/>
      <x:c r="Q443" s="63"/>
      <x:c r="R443" s="63"/>
    </x:row>
    <x:row r="444">
      <x:c r="A444" s="63"/>
      <x:c r="B444" s="63"/>
      <x:c r="C444" s="63"/>
      <x:c r="D444" s="63"/>
      <x:c r="E444" s="63"/>
      <x:c r="F444" s="63"/>
      <x:c r="G444" s="63"/>
      <x:c r="H444" s="63"/>
      <x:c r="I444" s="63"/>
      <x:c r="J444" s="63"/>
      <x:c r="K444" s="63"/>
      <x:c r="L444" s="63"/>
      <x:c r="M444" s="63"/>
      <x:c r="N444" s="63"/>
      <x:c r="O444" s="63"/>
      <x:c r="P444" s="63"/>
      <x:c r="Q444" s="63"/>
      <x:c r="R444" s="63"/>
    </x:row>
    <x:row r="445">
      <x:c r="A445" s="63"/>
      <x:c r="B445" s="63"/>
      <x:c r="C445" s="63"/>
      <x:c r="D445" s="63"/>
      <x:c r="E445" s="63"/>
      <x:c r="F445" s="63"/>
      <x:c r="G445" s="63"/>
      <x:c r="H445" s="63"/>
      <x:c r="I445" s="63"/>
      <x:c r="J445" s="63"/>
      <x:c r="K445" s="63"/>
      <x:c r="L445" s="63"/>
      <x:c r="M445" s="63"/>
      <x:c r="N445" s="63"/>
      <x:c r="O445" s="63"/>
      <x:c r="P445" s="63"/>
      <x:c r="Q445" s="63"/>
      <x:c r="R445" s="63"/>
    </x:row>
    <x:row r="446">
      <x:c r="A446" s="63"/>
      <x:c r="B446" s="63"/>
      <x:c r="C446" s="63"/>
      <x:c r="D446" s="63"/>
      <x:c r="E446" s="63"/>
      <x:c r="F446" s="63"/>
      <x:c r="G446" s="63"/>
      <x:c r="H446" s="63"/>
      <x:c r="I446" s="63"/>
      <x:c r="J446" s="63"/>
      <x:c r="K446" s="63"/>
      <x:c r="L446" s="63"/>
      <x:c r="M446" s="63"/>
      <x:c r="N446" s="63"/>
      <x:c r="O446" s="63"/>
      <x:c r="P446" s="63"/>
      <x:c r="Q446" s="63"/>
      <x:c r="R446" s="63"/>
    </x:row>
    <x:row r="447">
      <x:c r="A447" s="63"/>
      <x:c r="B447" s="63"/>
      <x:c r="C447" s="63"/>
      <x:c r="D447" s="63"/>
      <x:c r="E447" s="63"/>
      <x:c r="F447" s="63"/>
      <x:c r="G447" s="63"/>
      <x:c r="H447" s="63"/>
      <x:c r="I447" s="63"/>
      <x:c r="J447" s="63"/>
      <x:c r="K447" s="63"/>
      <x:c r="L447" s="63"/>
      <x:c r="M447" s="63"/>
      <x:c r="N447" s="63"/>
      <x:c r="O447" s="63"/>
      <x:c r="P447" s="63"/>
      <x:c r="Q447" s="63"/>
      <x:c r="R447" s="63"/>
    </x:row>
    <x:row r="448">
      <x:c r="A448" s="63"/>
      <x:c r="B448" s="63"/>
      <x:c r="C448" s="63"/>
      <x:c r="D448" s="63"/>
      <x:c r="E448" s="63"/>
      <x:c r="F448" s="63"/>
      <x:c r="G448" s="63"/>
      <x:c r="H448" s="63"/>
      <x:c r="I448" s="63"/>
      <x:c r="J448" s="63"/>
      <x:c r="K448" s="63"/>
      <x:c r="L448" s="63"/>
      <x:c r="M448" s="63"/>
      <x:c r="N448" s="63"/>
      <x:c r="O448" s="63"/>
      <x:c r="P448" s="63"/>
      <x:c r="Q448" s="63"/>
      <x:c r="R448" s="63"/>
    </x:row>
    <x:row r="449">
      <x:c r="A449" s="63"/>
      <x:c r="B449" s="63"/>
      <x:c r="C449" s="63"/>
      <x:c r="D449" s="63"/>
      <x:c r="E449" s="63"/>
      <x:c r="F449" s="63"/>
      <x:c r="G449" s="63"/>
      <x:c r="H449" s="63"/>
      <x:c r="I449" s="63"/>
      <x:c r="J449" s="63"/>
      <x:c r="K449" s="63"/>
      <x:c r="L449" s="63"/>
      <x:c r="M449" s="63"/>
      <x:c r="N449" s="63"/>
      <x:c r="O449" s="63"/>
      <x:c r="P449" s="63"/>
      <x:c r="Q449" s="63"/>
      <x:c r="R449" s="63"/>
    </x:row>
    <x:row r="450">
      <x:c r="A450" s="63"/>
      <x:c r="B450" s="63"/>
      <x:c r="C450" s="63"/>
      <x:c r="D450" s="63"/>
      <x:c r="E450" s="63"/>
      <x:c r="F450" s="63"/>
      <x:c r="G450" s="63"/>
      <x:c r="H450" s="63"/>
      <x:c r="I450" s="63"/>
      <x:c r="J450" s="63"/>
      <x:c r="K450" s="63"/>
      <x:c r="L450" s="63"/>
      <x:c r="M450" s="63"/>
      <x:c r="N450" s="63"/>
      <x:c r="O450" s="63"/>
      <x:c r="P450" s="63"/>
      <x:c r="Q450" s="63"/>
      <x:c r="R450" s="63"/>
    </x:row>
    <x:row r="451">
      <x:c r="A451" s="63"/>
      <x:c r="B451" s="63"/>
      <x:c r="C451" s="63"/>
      <x:c r="D451" s="63"/>
      <x:c r="E451" s="63"/>
      <x:c r="F451" s="63"/>
      <x:c r="G451" s="63"/>
      <x:c r="H451" s="63"/>
      <x:c r="I451" s="63"/>
      <x:c r="J451" s="63"/>
      <x:c r="K451" s="63"/>
      <x:c r="L451" s="63"/>
      <x:c r="M451" s="63"/>
      <x:c r="N451" s="63"/>
      <x:c r="O451" s="63"/>
      <x:c r="P451" s="63"/>
      <x:c r="Q451" s="63"/>
      <x:c r="R451" s="63"/>
    </x:row>
    <x:row r="452">
      <x:c r="A452" s="63"/>
      <x:c r="B452" s="63"/>
      <x:c r="C452" s="63"/>
      <x:c r="D452" s="63"/>
      <x:c r="E452" s="63"/>
      <x:c r="F452" s="63"/>
      <x:c r="G452" s="63"/>
      <x:c r="H452" s="63"/>
      <x:c r="I452" s="63"/>
      <x:c r="J452" s="63"/>
      <x:c r="K452" s="63"/>
      <x:c r="L452" s="63"/>
      <x:c r="M452" s="63"/>
      <x:c r="N452" s="63"/>
      <x:c r="O452" s="63"/>
      <x:c r="P452" s="63"/>
      <x:c r="Q452" s="63"/>
      <x:c r="R452" s="63"/>
    </x:row>
    <x:row r="453">
      <x:c r="A453" s="63"/>
      <x:c r="B453" s="63"/>
      <x:c r="C453" s="63"/>
      <x:c r="D453" s="63"/>
      <x:c r="E453" s="63"/>
      <x:c r="F453" s="63"/>
      <x:c r="G453" s="63"/>
      <x:c r="H453" s="63"/>
      <x:c r="I453" s="63"/>
      <x:c r="J453" s="63"/>
      <x:c r="K453" s="63"/>
      <x:c r="L453" s="63"/>
      <x:c r="M453" s="63"/>
      <x:c r="N453" s="63"/>
      <x:c r="O453" s="63"/>
      <x:c r="P453" s="63"/>
      <x:c r="Q453" s="63"/>
      <x:c r="R453" s="63"/>
    </x:row>
    <x:row r="454">
      <x:c r="A454" s="63"/>
      <x:c r="B454" s="63"/>
      <x:c r="C454" s="63"/>
      <x:c r="D454" s="63"/>
      <x:c r="E454" s="63"/>
      <x:c r="F454" s="63"/>
      <x:c r="G454" s="63"/>
      <x:c r="H454" s="63"/>
      <x:c r="I454" s="63"/>
      <x:c r="J454" s="63"/>
      <x:c r="K454" s="63"/>
      <x:c r="L454" s="63"/>
      <x:c r="M454" s="63"/>
      <x:c r="N454" s="63"/>
      <x:c r="O454" s="63"/>
      <x:c r="P454" s="63"/>
      <x:c r="Q454" s="63"/>
      <x:c r="R454" s="63"/>
    </x:row>
    <x:row r="455">
      <x:c r="A455" s="63"/>
      <x:c r="B455" s="63"/>
      <x:c r="C455" s="63"/>
      <x:c r="D455" s="63"/>
      <x:c r="E455" s="63"/>
      <x:c r="F455" s="63"/>
      <x:c r="G455" s="63"/>
      <x:c r="H455" s="63"/>
      <x:c r="I455" s="63"/>
      <x:c r="J455" s="63"/>
      <x:c r="K455" s="63"/>
      <x:c r="L455" s="63"/>
      <x:c r="M455" s="63"/>
      <x:c r="N455" s="63"/>
      <x:c r="O455" s="63"/>
      <x:c r="P455" s="63"/>
      <x:c r="Q455" s="63"/>
      <x:c r="R455" s="63"/>
    </x:row>
    <x:row r="456">
      <x:c r="A456" s="63"/>
      <x:c r="B456" s="63"/>
      <x:c r="C456" s="63"/>
      <x:c r="D456" s="63"/>
      <x:c r="E456" s="63"/>
      <x:c r="F456" s="63"/>
      <x:c r="G456" s="63"/>
      <x:c r="H456" s="63"/>
      <x:c r="I456" s="63"/>
      <x:c r="J456" s="63"/>
      <x:c r="K456" s="63"/>
      <x:c r="L456" s="63"/>
      <x:c r="M456" s="63"/>
      <x:c r="N456" s="63"/>
      <x:c r="O456" s="63"/>
      <x:c r="P456" s="63"/>
      <x:c r="Q456" s="63"/>
      <x:c r="R456" s="63"/>
    </x:row>
    <x:row r="457">
      <x:c r="A457" s="63"/>
      <x:c r="B457" s="63"/>
      <x:c r="C457" s="63"/>
      <x:c r="D457" s="63"/>
      <x:c r="E457" s="63"/>
      <x:c r="F457" s="63"/>
      <x:c r="G457" s="63"/>
      <x:c r="H457" s="63"/>
      <x:c r="I457" s="63"/>
      <x:c r="J457" s="63"/>
      <x:c r="K457" s="63"/>
      <x:c r="L457" s="63"/>
      <x:c r="M457" s="63"/>
      <x:c r="N457" s="63"/>
      <x:c r="O457" s="63"/>
      <x:c r="P457" s="63"/>
      <x:c r="Q457" s="63"/>
      <x:c r="R457" s="63"/>
    </x:row>
    <x:row r="458">
      <x:c r="A458" s="63"/>
      <x:c r="B458" s="63"/>
      <x:c r="C458" s="63"/>
      <x:c r="D458" s="63"/>
      <x:c r="E458" s="63"/>
      <x:c r="F458" s="63"/>
      <x:c r="G458" s="63"/>
      <x:c r="H458" s="63"/>
      <x:c r="I458" s="63"/>
      <x:c r="J458" s="63"/>
      <x:c r="K458" s="63"/>
      <x:c r="L458" s="63"/>
      <x:c r="M458" s="63"/>
      <x:c r="N458" s="63"/>
      <x:c r="O458" s="63"/>
      <x:c r="P458" s="63"/>
      <x:c r="Q458" s="63"/>
      <x:c r="R458" s="63"/>
    </x:row>
    <x:row r="459">
      <x:c r="A459" s="63"/>
      <x:c r="B459" s="63"/>
      <x:c r="C459" s="63"/>
      <x:c r="D459" s="63"/>
      <x:c r="E459" s="63"/>
      <x:c r="F459" s="63"/>
      <x:c r="G459" s="63"/>
      <x:c r="H459" s="63"/>
      <x:c r="I459" s="63"/>
      <x:c r="J459" s="63"/>
      <x:c r="K459" s="63"/>
      <x:c r="L459" s="63"/>
      <x:c r="M459" s="63"/>
      <x:c r="N459" s="63"/>
      <x:c r="O459" s="63"/>
      <x:c r="P459" s="63"/>
      <x:c r="Q459" s="63"/>
      <x:c r="R459" s="63"/>
    </x:row>
    <x:row r="460">
      <x:c r="A460" s="63"/>
      <x:c r="B460" s="63"/>
      <x:c r="C460" s="63"/>
      <x:c r="D460" s="63"/>
      <x:c r="E460" s="63"/>
      <x:c r="F460" s="63"/>
      <x:c r="G460" s="63"/>
      <x:c r="H460" s="63"/>
      <x:c r="I460" s="63"/>
      <x:c r="J460" s="63"/>
      <x:c r="K460" s="63"/>
      <x:c r="L460" s="63"/>
      <x:c r="M460" s="63"/>
      <x:c r="N460" s="63"/>
      <x:c r="O460" s="63"/>
      <x:c r="P460" s="63"/>
      <x:c r="Q460" s="63"/>
      <x:c r="R460" s="63"/>
    </x:row>
    <x:row r="461">
      <x:c r="A461" s="63"/>
      <x:c r="B461" s="63"/>
      <x:c r="C461" s="63"/>
      <x:c r="D461" s="63"/>
      <x:c r="E461" s="63"/>
      <x:c r="F461" s="63"/>
      <x:c r="G461" s="63"/>
      <x:c r="H461" s="63"/>
      <x:c r="I461" s="63"/>
      <x:c r="J461" s="63"/>
      <x:c r="K461" s="63"/>
      <x:c r="L461" s="63"/>
      <x:c r="M461" s="63"/>
      <x:c r="N461" s="63"/>
      <x:c r="O461" s="63"/>
      <x:c r="P461" s="63"/>
      <x:c r="Q461" s="63"/>
      <x:c r="R461" s="63"/>
    </x:row>
    <x:row r="462">
      <x:c r="A462" s="63"/>
      <x:c r="B462" s="63"/>
      <x:c r="C462" s="63"/>
      <x:c r="D462" s="63"/>
      <x:c r="E462" s="63"/>
      <x:c r="F462" s="63"/>
      <x:c r="G462" s="63"/>
      <x:c r="H462" s="63"/>
      <x:c r="I462" s="63"/>
      <x:c r="J462" s="63"/>
      <x:c r="K462" s="63"/>
      <x:c r="L462" s="63"/>
      <x:c r="M462" s="63"/>
      <x:c r="N462" s="63"/>
      <x:c r="O462" s="63"/>
      <x:c r="P462" s="63"/>
      <x:c r="Q462" s="63"/>
      <x:c r="R462" s="63"/>
    </x:row>
    <x:row r="463">
      <x:c r="A463" s="63"/>
      <x:c r="B463" s="63"/>
      <x:c r="C463" s="63"/>
      <x:c r="D463" s="63"/>
      <x:c r="E463" s="63"/>
      <x:c r="F463" s="63"/>
      <x:c r="G463" s="63"/>
      <x:c r="H463" s="63"/>
      <x:c r="I463" s="63"/>
      <x:c r="J463" s="63"/>
      <x:c r="K463" s="63"/>
      <x:c r="L463" s="63"/>
      <x:c r="M463" s="63"/>
      <x:c r="N463" s="63"/>
      <x:c r="O463" s="63"/>
      <x:c r="P463" s="63"/>
      <x:c r="Q463" s="63"/>
      <x:c r="R463" s="63"/>
    </x:row>
    <x:row r="464">
      <x:c r="A464" s="63"/>
      <x:c r="B464" s="63"/>
      <x:c r="C464" s="63"/>
      <x:c r="D464" s="63"/>
      <x:c r="E464" s="63"/>
      <x:c r="F464" s="63"/>
      <x:c r="G464" s="63"/>
      <x:c r="H464" s="63"/>
      <x:c r="I464" s="63"/>
      <x:c r="J464" s="63"/>
      <x:c r="K464" s="63"/>
      <x:c r="L464" s="63"/>
      <x:c r="M464" s="63"/>
      <x:c r="N464" s="63"/>
      <x:c r="O464" s="63"/>
      <x:c r="P464" s="63"/>
      <x:c r="Q464" s="63"/>
      <x:c r="R464" s="63"/>
    </x:row>
    <x:row r="465">
      <x:c r="A465" s="63"/>
      <x:c r="B465" s="63"/>
      <x:c r="C465" s="63"/>
      <x:c r="D465" s="63"/>
      <x:c r="E465" s="63"/>
      <x:c r="F465" s="63"/>
      <x:c r="G465" s="63"/>
      <x:c r="H465" s="63"/>
      <x:c r="I465" s="63"/>
      <x:c r="J465" s="63"/>
      <x:c r="K465" s="63"/>
      <x:c r="L465" s="63"/>
      <x:c r="M465" s="63"/>
      <x:c r="N465" s="63"/>
      <x:c r="O465" s="63"/>
      <x:c r="P465" s="63"/>
      <x:c r="Q465" s="63"/>
      <x:c r="R465" s="63"/>
    </x:row>
    <x:row r="466">
      <x:c r="A466" s="63"/>
      <x:c r="B466" s="63"/>
      <x:c r="C466" s="63"/>
      <x:c r="D466" s="63"/>
      <x:c r="E466" s="63"/>
      <x:c r="F466" s="63"/>
      <x:c r="G466" s="63"/>
      <x:c r="H466" s="63"/>
      <x:c r="I466" s="63"/>
      <x:c r="J466" s="63"/>
      <x:c r="K466" s="63"/>
      <x:c r="L466" s="63"/>
      <x:c r="M466" s="63"/>
      <x:c r="N466" s="63"/>
      <x:c r="O466" s="63"/>
      <x:c r="P466" s="63"/>
      <x:c r="Q466" s="63"/>
      <x:c r="R466" s="63"/>
    </x:row>
    <x:row r="467">
      <x:c r="A467" s="63"/>
      <x:c r="B467" s="63"/>
      <x:c r="C467" s="63"/>
      <x:c r="D467" s="63"/>
      <x:c r="E467" s="63"/>
      <x:c r="F467" s="63"/>
      <x:c r="G467" s="63"/>
      <x:c r="H467" s="63"/>
      <x:c r="I467" s="63"/>
      <x:c r="J467" s="63"/>
      <x:c r="K467" s="63"/>
      <x:c r="L467" s="63"/>
      <x:c r="M467" s="63"/>
      <x:c r="N467" s="63"/>
      <x:c r="O467" s="63"/>
      <x:c r="P467" s="63"/>
      <x:c r="Q467" s="63"/>
      <x:c r="R467" s="63"/>
    </x:row>
    <x:row r="468">
      <x:c r="A468" s="63"/>
      <x:c r="B468" s="63"/>
      <x:c r="C468" s="63"/>
      <x:c r="D468" s="63"/>
      <x:c r="E468" s="63"/>
      <x:c r="F468" s="63"/>
      <x:c r="G468" s="63"/>
      <x:c r="H468" s="63"/>
      <x:c r="I468" s="63"/>
      <x:c r="J468" s="63"/>
      <x:c r="K468" s="63"/>
      <x:c r="L468" s="63"/>
      <x:c r="M468" s="63"/>
      <x:c r="N468" s="63"/>
      <x:c r="O468" s="63"/>
      <x:c r="P468" s="63"/>
      <x:c r="Q468" s="63"/>
      <x:c r="R468" s="63"/>
    </x:row>
    <x:row r="469">
      <x:c r="A469" s="63"/>
      <x:c r="B469" s="63"/>
      <x:c r="C469" s="63"/>
      <x:c r="D469" s="63"/>
      <x:c r="E469" s="63"/>
      <x:c r="F469" s="63"/>
      <x:c r="G469" s="63"/>
      <x:c r="H469" s="63"/>
      <x:c r="I469" s="63"/>
      <x:c r="J469" s="63"/>
      <x:c r="K469" s="63"/>
      <x:c r="L469" s="63"/>
      <x:c r="M469" s="63"/>
      <x:c r="N469" s="63"/>
      <x:c r="O469" s="63"/>
      <x:c r="P469" s="63"/>
      <x:c r="Q469" s="63"/>
      <x:c r="R469" s="63"/>
    </x:row>
    <x:row r="470">
      <x:c r="A470" s="63"/>
      <x:c r="B470" s="63"/>
      <x:c r="C470" s="63"/>
      <x:c r="D470" s="63"/>
      <x:c r="E470" s="63"/>
      <x:c r="F470" s="63"/>
      <x:c r="G470" s="63"/>
      <x:c r="H470" s="63"/>
      <x:c r="I470" s="63"/>
      <x:c r="J470" s="63"/>
      <x:c r="K470" s="63"/>
      <x:c r="L470" s="63"/>
      <x:c r="M470" s="63"/>
      <x:c r="N470" s="63"/>
      <x:c r="O470" s="63"/>
      <x:c r="P470" s="63"/>
      <x:c r="Q470" s="63"/>
      <x:c r="R470" s="63"/>
    </x:row>
    <x:row r="471">
      <x:c r="A471" s="63"/>
      <x:c r="B471" s="63"/>
      <x:c r="C471" s="63"/>
      <x:c r="D471" s="63"/>
      <x:c r="E471" s="63"/>
      <x:c r="F471" s="63"/>
      <x:c r="G471" s="63"/>
      <x:c r="H471" s="63"/>
      <x:c r="I471" s="63"/>
      <x:c r="J471" s="63"/>
      <x:c r="K471" s="63"/>
      <x:c r="L471" s="63"/>
      <x:c r="M471" s="63"/>
      <x:c r="N471" s="63"/>
      <x:c r="O471" s="63"/>
      <x:c r="P471" s="63"/>
      <x:c r="Q471" s="63"/>
      <x:c r="R471" s="63"/>
    </x:row>
    <x:row r="472">
      <x:c r="A472" s="63"/>
      <x:c r="B472" s="63"/>
      <x:c r="C472" s="63"/>
      <x:c r="D472" s="63"/>
      <x:c r="E472" s="63"/>
      <x:c r="F472" s="63"/>
      <x:c r="G472" s="63"/>
      <x:c r="H472" s="63"/>
      <x:c r="I472" s="63"/>
      <x:c r="J472" s="63"/>
      <x:c r="K472" s="63"/>
      <x:c r="L472" s="63"/>
      <x:c r="M472" s="63"/>
      <x:c r="N472" s="63"/>
      <x:c r="O472" s="63"/>
      <x:c r="P472" s="63"/>
      <x:c r="Q472" s="63"/>
      <x:c r="R472" s="63"/>
    </x:row>
    <x:row r="473">
      <x:c r="A473" s="63"/>
      <x:c r="B473" s="63"/>
      <x:c r="C473" s="63"/>
      <x:c r="D473" s="63"/>
      <x:c r="E473" s="63"/>
      <x:c r="F473" s="63"/>
      <x:c r="G473" s="63"/>
      <x:c r="H473" s="63"/>
      <x:c r="I473" s="63"/>
      <x:c r="J473" s="63"/>
      <x:c r="K473" s="63"/>
      <x:c r="L473" s="63"/>
      <x:c r="M473" s="63"/>
      <x:c r="N473" s="63"/>
      <x:c r="O473" s="63"/>
      <x:c r="P473" s="63"/>
      <x:c r="Q473" s="63"/>
      <x:c r="R473" s="63"/>
    </x:row>
    <x:row r="474">
      <x:c r="A474" s="63"/>
      <x:c r="B474" s="63"/>
      <x:c r="C474" s="63"/>
      <x:c r="D474" s="63"/>
      <x:c r="E474" s="63"/>
      <x:c r="F474" s="63"/>
      <x:c r="G474" s="63"/>
      <x:c r="H474" s="63"/>
      <x:c r="I474" s="63"/>
      <x:c r="J474" s="63"/>
      <x:c r="K474" s="63"/>
      <x:c r="L474" s="63"/>
      <x:c r="M474" s="63"/>
      <x:c r="N474" s="63"/>
      <x:c r="O474" s="63"/>
      <x:c r="P474" s="63"/>
      <x:c r="Q474" s="63"/>
      <x:c r="R474" s="63"/>
    </x:row>
    <x:row r="475">
      <x:c r="A475" s="63"/>
      <x:c r="B475" s="63"/>
      <x:c r="C475" s="63"/>
      <x:c r="D475" s="63"/>
      <x:c r="E475" s="63"/>
      <x:c r="F475" s="63"/>
      <x:c r="G475" s="63"/>
      <x:c r="H475" s="63"/>
      <x:c r="I475" s="63"/>
      <x:c r="J475" s="63"/>
      <x:c r="K475" s="63"/>
      <x:c r="L475" s="63"/>
      <x:c r="M475" s="63"/>
      <x:c r="N475" s="63"/>
      <x:c r="O475" s="63"/>
      <x:c r="P475" s="63"/>
      <x:c r="Q475" s="63"/>
      <x:c r="R475" s="63"/>
    </x:row>
    <x:row r="476">
      <x:c r="A476" s="63"/>
      <x:c r="B476" s="63"/>
      <x:c r="C476" s="63"/>
      <x:c r="D476" s="63"/>
      <x:c r="E476" s="63"/>
      <x:c r="F476" s="63"/>
      <x:c r="G476" s="63"/>
      <x:c r="H476" s="63"/>
      <x:c r="I476" s="63"/>
      <x:c r="J476" s="63"/>
      <x:c r="K476" s="63"/>
      <x:c r="L476" s="63"/>
      <x:c r="M476" s="63"/>
      <x:c r="N476" s="63"/>
      <x:c r="O476" s="63"/>
      <x:c r="P476" s="63"/>
      <x:c r="Q476" s="63"/>
      <x:c r="R476" s="63"/>
    </x:row>
    <x:row r="477">
      <x:c r="A477" s="63"/>
      <x:c r="B477" s="63"/>
      <x:c r="C477" s="63"/>
      <x:c r="D477" s="63"/>
      <x:c r="E477" s="63"/>
      <x:c r="F477" s="63"/>
      <x:c r="G477" s="63"/>
      <x:c r="H477" s="63"/>
      <x:c r="I477" s="63"/>
      <x:c r="J477" s="63"/>
      <x:c r="K477" s="63"/>
      <x:c r="L477" s="63"/>
      <x:c r="M477" s="63"/>
      <x:c r="N477" s="63"/>
      <x:c r="O477" s="63"/>
      <x:c r="P477" s="63"/>
      <x:c r="Q477" s="63"/>
      <x:c r="R477" s="63"/>
    </x:row>
    <x:row r="478">
      <x:c r="A478" s="63"/>
      <x:c r="B478" s="63"/>
      <x:c r="C478" s="63"/>
      <x:c r="D478" s="63"/>
      <x:c r="E478" s="63"/>
      <x:c r="F478" s="63"/>
      <x:c r="G478" s="63"/>
      <x:c r="H478" s="63"/>
      <x:c r="I478" s="63"/>
      <x:c r="J478" s="63"/>
      <x:c r="K478" s="63"/>
      <x:c r="L478" s="63"/>
      <x:c r="M478" s="63"/>
      <x:c r="N478" s="63"/>
      <x:c r="O478" s="63"/>
      <x:c r="P478" s="63"/>
      <x:c r="Q478" s="63"/>
      <x:c r="R478" s="63"/>
    </x:row>
    <x:row r="479">
      <x:c r="A479" s="63"/>
      <x:c r="B479" s="63"/>
      <x:c r="C479" s="63"/>
      <x:c r="D479" s="63"/>
      <x:c r="E479" s="63"/>
      <x:c r="F479" s="63"/>
      <x:c r="G479" s="63"/>
      <x:c r="H479" s="63"/>
      <x:c r="I479" s="63"/>
      <x:c r="J479" s="63"/>
      <x:c r="K479" s="63"/>
      <x:c r="L479" s="63"/>
      <x:c r="M479" s="63"/>
      <x:c r="N479" s="63"/>
      <x:c r="O479" s="63"/>
      <x:c r="P479" s="63"/>
      <x:c r="Q479" s="63"/>
      <x:c r="R479" s="63"/>
    </x:row>
    <x:row r="480">
      <x:c r="A480" s="63"/>
      <x:c r="B480" s="63"/>
      <x:c r="C480" s="63"/>
      <x:c r="D480" s="63"/>
      <x:c r="E480" s="63"/>
      <x:c r="F480" s="63"/>
      <x:c r="G480" s="63"/>
      <x:c r="H480" s="63"/>
      <x:c r="I480" s="63"/>
      <x:c r="J480" s="63"/>
      <x:c r="K480" s="63"/>
      <x:c r="L480" s="63"/>
      <x:c r="M480" s="63"/>
      <x:c r="N480" s="63"/>
      <x:c r="O480" s="63"/>
      <x:c r="P480" s="63"/>
      <x:c r="Q480" s="63"/>
      <x:c r="R480" s="63"/>
    </x:row>
    <x:row r="481">
      <x:c r="A481" s="63"/>
      <x:c r="B481" s="63"/>
      <x:c r="C481" s="63"/>
      <x:c r="D481" s="63"/>
      <x:c r="E481" s="63"/>
      <x:c r="F481" s="63"/>
      <x:c r="G481" s="63"/>
      <x:c r="H481" s="63"/>
      <x:c r="I481" s="63"/>
      <x:c r="J481" s="63"/>
      <x:c r="K481" s="63"/>
      <x:c r="L481" s="63"/>
      <x:c r="M481" s="63"/>
      <x:c r="N481" s="63"/>
      <x:c r="O481" s="63"/>
      <x:c r="P481" s="63"/>
      <x:c r="Q481" s="63"/>
      <x:c r="R481" s="63"/>
    </x:row>
    <x:row r="482">
      <x:c r="A482" s="63"/>
      <x:c r="B482" s="63"/>
      <x:c r="C482" s="63"/>
      <x:c r="D482" s="63"/>
      <x:c r="E482" s="63"/>
      <x:c r="F482" s="63"/>
      <x:c r="G482" s="63"/>
      <x:c r="H482" s="63"/>
      <x:c r="I482" s="63"/>
      <x:c r="J482" s="63"/>
      <x:c r="K482" s="63"/>
      <x:c r="L482" s="63"/>
      <x:c r="M482" s="63"/>
      <x:c r="N482" s="63"/>
      <x:c r="O482" s="63"/>
      <x:c r="P482" s="63"/>
      <x:c r="Q482" s="63"/>
      <x:c r="R482" s="63"/>
    </x:row>
    <x:row r="483">
      <x:c r="A483" s="63"/>
      <x:c r="B483" s="63"/>
      <x:c r="C483" s="63"/>
      <x:c r="D483" s="63"/>
      <x:c r="E483" s="63"/>
      <x:c r="F483" s="63"/>
      <x:c r="G483" s="63"/>
      <x:c r="H483" s="63"/>
      <x:c r="I483" s="63"/>
      <x:c r="J483" s="63"/>
      <x:c r="K483" s="63"/>
      <x:c r="L483" s="63"/>
      <x:c r="M483" s="63"/>
      <x:c r="N483" s="63"/>
      <x:c r="O483" s="63"/>
      <x:c r="P483" s="63"/>
      <x:c r="Q483" s="63"/>
      <x:c r="R483" s="63"/>
    </x:row>
    <x:row r="484">
      <x:c r="A484" s="63"/>
      <x:c r="B484" s="63"/>
      <x:c r="C484" s="63"/>
      <x:c r="D484" s="63"/>
      <x:c r="E484" s="63"/>
      <x:c r="F484" s="63"/>
      <x:c r="G484" s="63"/>
      <x:c r="H484" s="63"/>
      <x:c r="I484" s="63"/>
      <x:c r="J484" s="63"/>
      <x:c r="K484" s="63"/>
      <x:c r="L484" s="63"/>
      <x:c r="M484" s="63"/>
      <x:c r="N484" s="63"/>
      <x:c r="O484" s="63"/>
      <x:c r="P484" s="63"/>
      <x:c r="Q484" s="63"/>
      <x:c r="R484" s="63"/>
    </x:row>
    <x:row r="485">
      <x:c r="A485" s="63"/>
      <x:c r="B485" s="63"/>
      <x:c r="C485" s="63"/>
      <x:c r="D485" s="63"/>
      <x:c r="E485" s="63"/>
      <x:c r="F485" s="63"/>
      <x:c r="G485" s="63"/>
      <x:c r="H485" s="63"/>
      <x:c r="I485" s="63"/>
      <x:c r="J485" s="63"/>
      <x:c r="K485" s="63"/>
      <x:c r="L485" s="63"/>
      <x:c r="M485" s="63"/>
      <x:c r="N485" s="63"/>
      <x:c r="O485" s="63"/>
      <x:c r="P485" s="63"/>
      <x:c r="Q485" s="63"/>
      <x:c r="R485" s="63"/>
    </x:row>
    <x:row r="486">
      <x:c r="A486" s="63"/>
      <x:c r="B486" s="63"/>
      <x:c r="C486" s="63"/>
      <x:c r="D486" s="63"/>
      <x:c r="E486" s="63"/>
      <x:c r="F486" s="63"/>
      <x:c r="G486" s="63"/>
      <x:c r="H486" s="63"/>
      <x:c r="I486" s="63"/>
      <x:c r="J486" s="63"/>
      <x:c r="K486" s="63"/>
      <x:c r="L486" s="63"/>
      <x:c r="M486" s="63"/>
      <x:c r="N486" s="63"/>
      <x:c r="O486" s="63"/>
      <x:c r="P486" s="63"/>
      <x:c r="Q486" s="63"/>
      <x:c r="R486" s="63"/>
    </x:row>
    <x:row r="487">
      <x:c r="A487" s="63"/>
      <x:c r="B487" s="63"/>
      <x:c r="C487" s="63"/>
      <x:c r="D487" s="63"/>
      <x:c r="E487" s="63"/>
      <x:c r="F487" s="63"/>
      <x:c r="G487" s="63"/>
      <x:c r="H487" s="63"/>
      <x:c r="I487" s="63"/>
      <x:c r="J487" s="63"/>
      <x:c r="K487" s="63"/>
      <x:c r="L487" s="63"/>
      <x:c r="M487" s="63"/>
      <x:c r="N487" s="63"/>
      <x:c r="O487" s="63"/>
      <x:c r="P487" s="63"/>
      <x:c r="Q487" s="63"/>
      <x:c r="R487" s="63"/>
    </x:row>
    <x:row r="488">
      <x:c r="A488" s="63"/>
      <x:c r="B488" s="63"/>
      <x:c r="C488" s="63"/>
      <x:c r="D488" s="63"/>
      <x:c r="E488" s="63"/>
      <x:c r="F488" s="63"/>
      <x:c r="G488" s="63"/>
      <x:c r="H488" s="63"/>
      <x:c r="I488" s="63"/>
      <x:c r="J488" s="63"/>
      <x:c r="K488" s="63"/>
      <x:c r="L488" s="63"/>
      <x:c r="M488" s="63"/>
      <x:c r="N488" s="63"/>
      <x:c r="O488" s="63"/>
      <x:c r="P488" s="63"/>
      <x:c r="Q488" s="63"/>
      <x:c r="R488" s="63"/>
    </x:row>
    <x:row r="489">
      <x:c r="A489" s="63"/>
      <x:c r="B489" s="63"/>
      <x:c r="C489" s="63"/>
      <x:c r="D489" s="63"/>
      <x:c r="E489" s="63"/>
      <x:c r="F489" s="63"/>
      <x:c r="G489" s="63"/>
      <x:c r="H489" s="63"/>
      <x:c r="I489" s="63"/>
      <x:c r="J489" s="63"/>
      <x:c r="K489" s="63"/>
      <x:c r="L489" s="63"/>
      <x:c r="M489" s="63"/>
      <x:c r="N489" s="63"/>
      <x:c r="O489" s="63"/>
      <x:c r="P489" s="63"/>
      <x:c r="Q489" s="63"/>
      <x:c r="R489" s="63"/>
    </x:row>
    <x:row r="490">
      <x:c r="A490" s="63"/>
      <x:c r="B490" s="63"/>
      <x:c r="C490" s="63"/>
      <x:c r="D490" s="63"/>
      <x:c r="E490" s="63"/>
      <x:c r="F490" s="63"/>
      <x:c r="G490" s="63"/>
      <x:c r="H490" s="63"/>
      <x:c r="I490" s="63"/>
      <x:c r="J490" s="63"/>
      <x:c r="K490" s="63"/>
      <x:c r="L490" s="63"/>
      <x:c r="M490" s="63"/>
      <x:c r="N490" s="63"/>
      <x:c r="O490" s="63"/>
      <x:c r="P490" s="63"/>
      <x:c r="Q490" s="63"/>
      <x:c r="R490" s="63"/>
    </x:row>
    <x:row r="491">
      <x:c r="A491" s="63"/>
      <x:c r="B491" s="63"/>
      <x:c r="C491" s="63"/>
      <x:c r="D491" s="63"/>
      <x:c r="E491" s="63"/>
      <x:c r="F491" s="63"/>
      <x:c r="G491" s="63"/>
      <x:c r="H491" s="63"/>
      <x:c r="I491" s="63"/>
      <x:c r="J491" s="63"/>
      <x:c r="K491" s="63"/>
      <x:c r="L491" s="63"/>
      <x:c r="M491" s="63"/>
      <x:c r="N491" s="63"/>
      <x:c r="O491" s="63"/>
      <x:c r="P491" s="63"/>
      <x:c r="Q491" s="63"/>
      <x:c r="R491" s="63"/>
    </x:row>
    <x:row r="492">
      <x:c r="A492" s="63"/>
      <x:c r="B492" s="63"/>
      <x:c r="C492" s="63"/>
      <x:c r="D492" s="63"/>
      <x:c r="E492" s="63"/>
      <x:c r="F492" s="63"/>
      <x:c r="G492" s="63"/>
      <x:c r="H492" s="63"/>
      <x:c r="I492" s="63"/>
      <x:c r="J492" s="63"/>
      <x:c r="K492" s="63"/>
      <x:c r="L492" s="63"/>
      <x:c r="M492" s="63"/>
      <x:c r="N492" s="63"/>
      <x:c r="O492" s="63"/>
      <x:c r="P492" s="63"/>
      <x:c r="Q492" s="63"/>
      <x:c r="R492" s="63"/>
    </x:row>
    <x:row r="493">
      <x:c r="A493" s="63"/>
      <x:c r="B493" s="63"/>
      <x:c r="C493" s="63"/>
      <x:c r="D493" s="63"/>
      <x:c r="E493" s="63"/>
      <x:c r="F493" s="63"/>
      <x:c r="G493" s="63"/>
      <x:c r="H493" s="63"/>
      <x:c r="I493" s="63"/>
      <x:c r="J493" s="63"/>
      <x:c r="K493" s="63"/>
      <x:c r="L493" s="63"/>
      <x:c r="M493" s="63"/>
      <x:c r="N493" s="63"/>
      <x:c r="O493" s="63"/>
      <x:c r="P493" s="63"/>
      <x:c r="Q493" s="63"/>
      <x:c r="R493" s="63"/>
    </x:row>
    <x:row r="494">
      <x:c r="A494" s="63"/>
      <x:c r="B494" s="63"/>
      <x:c r="C494" s="63"/>
      <x:c r="D494" s="63"/>
      <x:c r="E494" s="63"/>
      <x:c r="F494" s="63"/>
      <x:c r="G494" s="63"/>
      <x:c r="H494" s="63"/>
      <x:c r="I494" s="63"/>
      <x:c r="J494" s="63"/>
      <x:c r="K494" s="63"/>
      <x:c r="L494" s="63"/>
      <x:c r="M494" s="63"/>
      <x:c r="N494" s="63"/>
      <x:c r="O494" s="63"/>
      <x:c r="P494" s="63"/>
      <x:c r="Q494" s="63"/>
      <x:c r="R494" s="63"/>
    </x:row>
    <x:row r="495">
      <x:c r="A495" s="63"/>
      <x:c r="B495" s="63"/>
      <x:c r="C495" s="63"/>
      <x:c r="D495" s="63"/>
      <x:c r="E495" s="63"/>
      <x:c r="F495" s="63"/>
      <x:c r="G495" s="63"/>
      <x:c r="H495" s="63"/>
      <x:c r="I495" s="63"/>
      <x:c r="J495" s="63"/>
      <x:c r="K495" s="63"/>
      <x:c r="L495" s="63"/>
      <x:c r="M495" s="63"/>
      <x:c r="N495" s="63"/>
      <x:c r="O495" s="63"/>
      <x:c r="P495" s="63"/>
      <x:c r="Q495" s="63"/>
      <x:c r="R495" s="63"/>
    </x:row>
    <x:row r="496">
      <x:c r="A496" s="63"/>
      <x:c r="B496" s="63"/>
      <x:c r="C496" s="63"/>
      <x:c r="D496" s="63"/>
      <x:c r="E496" s="63"/>
      <x:c r="F496" s="63"/>
      <x:c r="G496" s="63"/>
      <x:c r="H496" s="63"/>
      <x:c r="I496" s="63"/>
      <x:c r="J496" s="63"/>
      <x:c r="K496" s="63"/>
      <x:c r="L496" s="63"/>
      <x:c r="M496" s="63"/>
      <x:c r="N496" s="63"/>
      <x:c r="O496" s="63"/>
      <x:c r="P496" s="63"/>
      <x:c r="Q496" s="63"/>
      <x:c r="R496" s="63"/>
    </x:row>
    <x:row r="497">
      <x:c r="A497" s="63"/>
      <x:c r="B497" s="63"/>
      <x:c r="C497" s="63"/>
      <x:c r="D497" s="63"/>
      <x:c r="E497" s="63"/>
      <x:c r="F497" s="63"/>
      <x:c r="G497" s="63"/>
      <x:c r="H497" s="63"/>
      <x:c r="I497" s="63"/>
      <x:c r="J497" s="63"/>
      <x:c r="K497" s="63"/>
      <x:c r="L497" s="63"/>
      <x:c r="M497" s="63"/>
      <x:c r="N497" s="63"/>
      <x:c r="O497" s="63"/>
      <x:c r="P497" s="63"/>
      <x:c r="Q497" s="63"/>
      <x:c r="R497" s="63"/>
    </x:row>
    <x:row r="498">
      <x:c r="A498" s="63"/>
      <x:c r="B498" s="63"/>
      <x:c r="C498" s="63"/>
      <x:c r="D498" s="63"/>
      <x:c r="E498" s="63"/>
      <x:c r="F498" s="63"/>
      <x:c r="G498" s="63"/>
      <x:c r="H498" s="63"/>
      <x:c r="I498" s="63"/>
      <x:c r="J498" s="63"/>
      <x:c r="K498" s="63"/>
      <x:c r="L498" s="63"/>
      <x:c r="M498" s="63"/>
      <x:c r="N498" s="63"/>
      <x:c r="O498" s="63"/>
      <x:c r="P498" s="63"/>
      <x:c r="Q498" s="63"/>
      <x:c r="R498" s="63"/>
    </x:row>
    <x:row r="499">
      <x:c r="A499" s="63"/>
      <x:c r="B499" s="63"/>
      <x:c r="C499" s="63"/>
      <x:c r="D499" s="63"/>
      <x:c r="E499" s="63"/>
      <x:c r="F499" s="63"/>
      <x:c r="G499" s="63"/>
      <x:c r="H499" s="63"/>
      <x:c r="I499" s="63"/>
      <x:c r="J499" s="63"/>
      <x:c r="K499" s="63"/>
      <x:c r="L499" s="63"/>
      <x:c r="M499" s="63"/>
      <x:c r="N499" s="63"/>
      <x:c r="O499" s="63"/>
      <x:c r="P499" s="63"/>
      <x:c r="Q499" s="63"/>
      <x:c r="R499" s="63"/>
    </x:row>
    <x:row r="500">
      <x:c r="A500" s="63"/>
      <x:c r="B500" s="63"/>
      <x:c r="C500" s="63"/>
      <x:c r="D500" s="63"/>
      <x:c r="E500" s="63"/>
      <x:c r="F500" s="63"/>
      <x:c r="G500" s="63"/>
      <x:c r="H500" s="63"/>
      <x:c r="I500" s="63"/>
      <x:c r="J500" s="63"/>
      <x:c r="K500" s="63"/>
      <x:c r="L500" s="63"/>
      <x:c r="M500" s="63"/>
      <x:c r="N500" s="63"/>
      <x:c r="O500" s="63"/>
      <x:c r="P500" s="63"/>
      <x:c r="Q500" s="63"/>
      <x:c r="R500" s="63"/>
    </x:row>
  </x:sheetData>
  <x:conditionalFormatting sqref="N2:N200">
    <x:cfRule type="expression" dxfId="0" priority="1">
      <x:formula>N2="Resolved"</x:formula>
    </x:cfRule>
    <x:cfRule type="expression" dxfId="1" priority="2">
      <x:formula>N2="Escalate to MIOS"</x:formula>
    </x:cfRule>
    <x:cfRule type="expression" dxfId="2" priority="3">
      <x:formula>N2="In Review"</x:formula>
    </x:cfRule>
  </x:conditionalFormatting>
  <x:conditionalFormatting sqref="F2:F500">
    <x:cfRule type="expression" dxfId="3" priority="4">
      <x:formula>F2="Evidence &amp; Data Quality"</x:formula>
    </x:cfRule>
    <x:cfRule type="expression" dxfId="4" priority="5">
      <x:formula>F2="Clinical Reasoning"</x:formula>
    </x:cfRule>
    <x:cfRule type="expression" dxfId="5" priority="6">
      <x:formula>F2="Risk &amp; Safety Cognition"</x:formula>
    </x:cfRule>
    <x:cfRule type="expression" dxfId="6" priority="7">
      <x:formula>F2="Identity &amp; Role Cognition"</x:formula>
    </x:cfRule>
    <x:cfRule type="expression" dxfId="7" priority="8">
      <x:formula>F2="Systemic &amp; Structural"</x:formula>
    </x:cfRule>
    <x:cfRule type="expression" dxfId="8" priority="9">
      <x:formula>F2="Competitive &amp; Comparative"</x:formula>
    </x:cfRule>
  </x:conditionalFormatting>
  <x:dataValidations count="1">
    <x:dataValidation type="list" sqref="N2:N200">
      <x:formula1>"Draft,In Review,Resolved,Escalate to MIOS"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8cffc500ece45be"/>
  </x:tableParts>
</x:worksheet>
</file>

<file path=xl/worksheets/sheet3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6" hidden="0" customWidth="1"/>
    <x:col min="8" max="8" width="6" hidden="0" customWidth="1"/>
  </x:cols>
  <x:sheetData>
    <x:row r="1" ht="24" customHeight="1">
      <x:c r="A1" s="37" t="str">
        <x:v>SYSTEM 2 OF 3 — BAOS</x:v>
      </x:c>
      <x:c r="B1" s="35"/>
      <x:c r="C1" s="35"/>
      <x:c r="D1" s="35"/>
      <x:c r="E1" s="35"/>
      <x:c r="F1" s="35"/>
      <x:c r="G1" s="35"/>
      <x:c r="H1" s="35"/>
    </x:row>
    <x:row r="2" ht="30" customHeight="1">
      <x:c r="A2" s="39" t="str">
        <x:v>BAOS — A Reasoning Engine For Objections</x:v>
      </x:c>
      <x:c r="B2" s="35"/>
      <x:c r="C2" s="35"/>
      <x:c r="D2" s="35"/>
      <x:c r="E2" s="35"/>
      <x:c r="F2" s="35"/>
      <x:c r="G2" s="65" t="str">
        <x:v>Generated BAOS rows</x:v>
      </x:c>
      <x:c r="H2" s="65" t="n">
        <x:v>28</x:v>
      </x:c>
    </x:row>
    <x:row r="3" ht="30" customHeight="1">
      <x:c r="A3" s="35"/>
      <x:c r="B3" s="35"/>
      <x:c r="C3" s="35"/>
      <x:c r="D3" s="35"/>
      <x:c r="E3" s="35"/>
      <x:c r="F3" s="35"/>
      <x:c r="G3" s="83" t="str">
        <x:v>Statements routed to BAOS</x:v>
      </x:c>
      <x:c r="H3" s="84" t="n">
        <x:v>2</x:v>
      </x:c>
    </x:row>
    <x:row r="4" ht="30" customHeight="1">
      <x:c r="A4" s="35"/>
      <x:c r="B4" s="35"/>
      <x:c r="C4" s="35"/>
      <x:c r="D4" s="35"/>
      <x:c r="E4" s="35"/>
      <x:c r="F4" s="35"/>
      <x:c r="G4" s="83" t="str">
        <x:v>Supported claim types</x:v>
      </x:c>
      <x:c r="H4" s="84" t="n">
        <x:v>7</x:v>
      </x:c>
    </x:row>
    <x:row r="5" ht="30" customHeight="1">
      <x:c r="A5" s="40" t="str">
        <x:v>Based on belief every physician has cognitive barriers that should be addressed</x:v>
      </x:c>
      <x:c r="B5" s="35"/>
      <x:c r="C5" s="35"/>
      <x:c r="D5" s="35"/>
      <x:c r="E5" s="35"/>
      <x:c r="F5" s="35"/>
      <x:c r="G5" s="83" t="str">
        <x:v>Lens mappings</x:v>
      </x:c>
      <x:c r="H5" s="84" t="n">
        <x:v>40</x:v>
      </x:c>
    </x:row>
    <x:row r="6" ht="30" customHeight="1">
      <x:c r="A6" s="35"/>
      <x:c r="B6" s="35"/>
      <x:c r="C6" s="35"/>
      <x:c r="D6" s="35"/>
      <x:c r="E6" s="35"/>
      <x:c r="F6" s="35"/>
      <x:c r="G6" s="83" t="str">
        <x:v>Auto-build status</x:v>
      </x:c>
      <x:c r="H6" s="84" t="str">
        <x:v>Ready</x:v>
      </x:c>
    </x:row>
    <x:row r="7" ht="24" customHeight="1">
      <x:c r="A7" s="35"/>
      <x:c r="B7" s="35"/>
      <x:c r="C7" s="35"/>
      <x:c r="D7" s="35"/>
      <x:c r="E7" s="35"/>
      <x:c r="F7" s="35"/>
      <x:c r="G7" s="83" t="str">
        <x:v>Generation basis</x:v>
      </x:c>
      <x:c r="H7" s="84" t="str">
        <x:v>MIOS_to_OHOS_Interface + BAOS_ClaimType_Lens_Map</x:v>
      </x:c>
    </x:row>
    <x:row r="8" ht="24" customHeight="1">
      <x:c r="A8" s="42" t="str">
        <x:v>Evidence &amp;
Data Quality</x:v>
      </x:c>
      <x:c r="B8" s="32"/>
      <x:c r="C8" s="44" t="str">
        <x:v>Clinical
Reasoning</x:v>
      </x:c>
      <x:c r="D8" s="32"/>
      <x:c r="E8" s="46" t="str">
        <x:v>Risk &amp; Safety
Cognition</x:v>
      </x:c>
      <x:c r="F8" s="32"/>
      <x:c r="G8" s="83" t="str">
        <x:v>Refresh note</x:v>
      </x:c>
      <x:c r="H8" s="84" t="str">
        <x:v>Regenerate BAOS_Engine after adding new interface rows</x:v>
      </x:c>
    </x:row>
    <x:row r="9" ht="24" customHeight="1">
      <x:c r="A9" s="32"/>
      <x:c r="B9" s="32"/>
      <x:c r="C9" s="32"/>
      <x:c r="D9" s="32"/>
      <x:c r="E9" s="32"/>
      <x:c r="F9" s="32"/>
      <x:c r="G9" s="35"/>
      <x:c r="H9" s="35"/>
    </x:row>
    <x:row r="10" ht="24" customHeight="1">
      <x:c r="A10" s="51" t="str">
        <x:v>Physician questions the data — credibility, sufficiency, design, generalizability</x:v>
      </x:c>
      <x:c r="B10" s="32"/>
      <x:c r="C10" s="51" t="str">
        <x:v>Physician cannot connect evidence to specific patients or practice</x:v>
      </x:c>
      <x:c r="D10" s="32"/>
      <x:c r="E10" s="51" t="str">
        <x:v>Prior experience or safety concern creates entrenched hesitancy</x:v>
      </x:c>
      <x:c r="F10" s="32"/>
      <x:c r="G10" s="35"/>
      <x:c r="H10" s="35"/>
    </x:row>
    <x:row r="11" ht="24" customHeight="1">
      <x:c r="A11" s="32"/>
      <x:c r="B11" s="32"/>
      <x:c r="C11" s="32"/>
      <x:c r="D11" s="32"/>
      <x:c r="E11" s="32"/>
      <x:c r="F11" s="32"/>
      <x:c r="G11" s="35"/>
      <x:c r="H11" s="35"/>
    </x:row>
    <x:row r="12" ht="24" customHeight="1">
      <x:c r="A12" s="32"/>
      <x:c r="B12" s="32"/>
      <x:c r="C12" s="32"/>
      <x:c r="D12" s="32"/>
      <x:c r="E12" s="32"/>
      <x:c r="F12" s="32"/>
      <x:c r="G12" s="35"/>
      <x:c r="H12" s="35"/>
    </x:row>
    <x:row r="13" ht="24" customHeight="1">
      <x:c r="A13" s="32"/>
      <x:c r="B13" s="32"/>
      <x:c r="C13" s="32"/>
      <x:c r="D13" s="32"/>
      <x:c r="E13" s="32"/>
      <x:c r="F13" s="32"/>
      <x:c r="G13" s="35"/>
      <x:c r="H13" s="35"/>
    </x:row>
    <x:row r="14" ht="24" customHeight="1">
      <x:c r="A14" s="35"/>
      <x:c r="B14" s="35"/>
      <x:c r="C14" s="35"/>
      <x:c r="D14" s="35"/>
      <x:c r="E14" s="35"/>
      <x:c r="F14" s="35"/>
      <x:c r="G14" s="35"/>
      <x:c r="H14" s="35"/>
    </x:row>
    <x:row r="15" ht="24" customHeight="1">
      <x:c r="A15" s="48" t="str">
        <x:v>Identity &amp;
Role Cognition</x:v>
      </x:c>
      <x:c r="B15" s="32"/>
      <x:c r="C15" s="50" t="str">
        <x:v>Systemic &amp;
Structural</x:v>
      </x:c>
      <x:c r="D15" s="32"/>
      <x:c r="E15" s="46" t="str">
        <x:v>Competitive &amp;
Comparative</x:v>
      </x:c>
      <x:c r="F15" s="32"/>
      <x:c r="G15" s="35"/>
      <x:c r="H15" s="35"/>
    </x:row>
    <x:row r="16" ht="24" customHeight="1">
      <x:c r="A16" s="32"/>
      <x:c r="B16" s="32"/>
      <x:c r="C16" s="32"/>
      <x:c r="D16" s="32"/>
      <x:c r="E16" s="32"/>
      <x:c r="F16" s="32"/>
      <x:c r="G16" s="35"/>
      <x:c r="H16" s="35"/>
    </x:row>
    <x:row r="17" ht="24" customHeight="1">
      <x:c r="A17" s="51" t="str">
        <x:v>Drug does not align with how the physician sees their professional role</x:v>
      </x:c>
      <x:c r="B17" s="32"/>
      <x:c r="C17" s="51" t="str">
        <x:v>External forces — payer, workflow, access — block prescribing despite intent</x:v>
      </x:c>
      <x:c r="D17" s="32"/>
      <x:c r="E17" s="51" t="str">
        <x:v>Anchored to existing therapy, does not see compelling differentiation</x:v>
      </x:c>
      <x:c r="F17" s="32"/>
      <x:c r="G17" s="35"/>
      <x:c r="H17" s="35"/>
    </x:row>
    <x:row r="18" ht="24" customHeight="1">
      <x:c r="A18" s="32"/>
      <x:c r="B18" s="32"/>
      <x:c r="C18" s="32"/>
      <x:c r="D18" s="32"/>
      <x:c r="E18" s="32"/>
      <x:c r="F18" s="32"/>
      <x:c r="G18" s="35"/>
      <x:c r="H18" s="35"/>
    </x:row>
    <x:row r="19" ht="24" customHeight="1">
      <x:c r="A19" s="32"/>
      <x:c r="B19" s="32"/>
      <x:c r="C19" s="32"/>
      <x:c r="D19" s="32"/>
      <x:c r="E19" s="32"/>
      <x:c r="F19" s="32"/>
      <x:c r="G19" s="35"/>
      <x:c r="H19" s="35"/>
    </x:row>
    <x:row r="20" ht="24" customHeight="1">
      <x:c r="A20" s="32"/>
      <x:c r="B20" s="32"/>
      <x:c r="C20" s="32"/>
      <x:c r="D20" s="32"/>
      <x:c r="E20" s="32"/>
      <x:c r="F20" s="32"/>
      <x:c r="G20" s="35"/>
      <x:c r="H20" s="35"/>
    </x:row>
    <x:row r="21" ht="24" customHeight="1">
      <x:c r="A21" s="35"/>
      <x:c r="B21" s="35"/>
      <x:c r="C21" s="35"/>
      <x:c r="D21" s="35"/>
      <x:c r="E21" s="35"/>
      <x:c r="F21" s="35"/>
      <x:c r="G21" s="35"/>
      <x:c r="H21" s="35"/>
    </x:row>
    <x:row r="22" ht="24" customHeight="1">
      <x:c r="A22" s="53" t="str">
        <x:v>6</x:v>
      </x:c>
      <x:c r="B22" s="54" t="str">
        <x:v>Barrier Clusters</x:v>
      </x:c>
      <x:c r="C22" s="53" t="n">
        <x:f>COUNTA(BAOS_Lens_Library!A2:A26)</x:f>
        <x:v>25</x:v>
      </x:c>
      <x:c r="D22" s="54" t="str">
        <x:v>Cognitive Lens Types</x:v>
      </x:c>
      <x:c r="E22" s="57" t="str">
        <x:v>Feedback with MIOS</x:v>
      </x:c>
      <x:c r="F22" s="35"/>
      <x:c r="G22" s="35"/>
      <x:c r="H22" s="35"/>
    </x:row>
    <x:row r="23" ht="24" customHeight="1">
      <x:c r="A23" s="31"/>
      <x:c r="B23" s="31"/>
      <x:c r="C23" s="31"/>
      <x:c r="D23" s="31"/>
      <x:c r="E23" s="35"/>
      <x:c r="F23" s="35"/>
      <x:c r="G23" s="35"/>
      <x:c r="H23" s="35"/>
    </x:row>
    <x:row r="24" ht="24" customHeight="1">
      <x:c r="A24" s="35"/>
      <x:c r="B24" s="35"/>
      <x:c r="C24" s="35"/>
      <x:c r="D24" s="35"/>
      <x:c r="E24" s="35"/>
      <x:c r="F24" s="35"/>
      <x:c r="G24" s="35"/>
      <x:c r="H24" s="35"/>
    </x:row>
    <x:row r="25" ht="24" customHeight="1">
      <x:c r="A25" s="60" t="str">
        <x:v>MIOS → BAOS Intelligence Loop: Each belief shift from MIOS maps directly to the barriers it will encounter. BAOS resolves those barriers using MIOS evidence statements. Resolved barriers feed back to refine belief-shift targeting.</x:v>
      </x:c>
      <x:c r="B25" s="35"/>
      <x:c r="C25" s="35"/>
      <x:c r="D25" s="35"/>
      <x:c r="E25" s="35"/>
      <x:c r="F25" s="35"/>
      <x:c r="G25" s="35"/>
      <x:c r="H25" s="35"/>
    </x:row>
    <x:row r="26" ht="24" customHeight="1">
      <x:c r="A26" s="35"/>
      <x:c r="B26" s="35"/>
      <x:c r="C26" s="35"/>
      <x:c r="D26" s="35"/>
      <x:c r="E26" s="35"/>
      <x:c r="F26" s="35"/>
      <x:c r="G26" s="35"/>
      <x:c r="H26" s="35"/>
    </x:row>
    <x:row r="27" ht="24" customHeight="1">
      <x:c r="A27" s="35"/>
      <x:c r="B27" s="35"/>
      <x:c r="C27" s="35"/>
      <x:c r="D27" s="35"/>
      <x:c r="E27" s="35"/>
      <x:c r="F27" s="35"/>
      <x:c r="G27" s="35"/>
      <x:c r="H27" s="35"/>
    </x:row>
    <x:row r="28" ht="24" customHeight="1">
      <x:c r="A28" s="62" t="str">
        <x:f>"See BAOS_Engine for generated objection rows and BAOS_Lens_Library for the 25-lens framework."</x:f>
        <x:v>See BAOS_Engine for generated objection rows and BAOS_Lens_Library for the 25-lens framework.</x:v>
      </x:c>
      <x:c r="B28" s="35"/>
      <x:c r="C28" s="35"/>
      <x:c r="D28" s="35"/>
      <x:c r="E28" s="35"/>
      <x:c r="F28" s="35"/>
      <x:c r="G28" s="35"/>
      <x:c r="H28" s="35"/>
    </x:row>
    <x:row r="29" ht="24" customHeight="1">
      <x:c r="A29" s="35"/>
      <x:c r="B29" s="35"/>
      <x:c r="C29" s="35"/>
      <x:c r="D29" s="35"/>
      <x:c r="E29" s="35"/>
      <x:c r="F29" s="35"/>
      <x:c r="G29" s="35"/>
      <x:c r="H29" s="35"/>
    </x:row>
    <x:row r="30" ht="24" customHeight="1">
      <x:c r="A30" s="35"/>
      <x:c r="B30" s="35"/>
      <x:c r="C30" s="35"/>
      <x:c r="D30" s="35"/>
      <x:c r="E30" s="35"/>
      <x:c r="F30" s="35"/>
      <x:c r="G30" s="35"/>
      <x:c r="H30" s="35"/>
    </x:row>
  </x:sheetData>
  <x:mergeCells>
    <x:mergeCell ref="A1:H1"/>
    <x:mergeCell ref="A2:H4"/>
    <x:mergeCell ref="A5:H6"/>
    <x:mergeCell ref="E22:F23"/>
    <x:mergeCell ref="A25:H26"/>
    <x:mergeCell ref="A28:H29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8" hidden="0" customWidth="1"/>
  </x:cols>
  <x:sheetData>
    <x:row r="1">
      <x:c r="A1" s="66" t="str">
        <x:v>ClaimType</x:v>
      </x:c>
      <x:c r="B1" s="66" t="str">
        <x:v>LensID</x:v>
      </x:c>
      <x:c r="C1" s="66" t="str">
        <x:v>Priority</x:v>
      </x:c>
      <x:c r="D1" s="66" t="str">
        <x:v>ClaimTypeOrdinal</x:v>
      </x:c>
      <x:c r="E1" s="66" t="str">
        <x:v>ClaimTypeOrdinalKey</x:v>
      </x:c>
      <x:c r="F1" s="66" t="str">
        <x:v>Notes</x:v>
      </x:c>
    </x:row>
    <x:row r="2">
      <x:c r="A2" s="63" t="str">
        <x:v>Clinical efficacy</x:v>
      </x:c>
      <x:c r="B2" s="63" t="str">
        <x:v>L01</x:v>
      </x:c>
      <x:c r="C2" s="63" t="n">
        <x:v>1</x:v>
      </x:c>
      <x:c r="D2" s="63" t="n">
        <x:v>1</x:v>
      </x:c>
      <x:c r="E2" s="63" t="str">
        <x:v>Clinical efficacy|1</x:v>
      </x:c>
      <x:c r="F2" s="63" t="str">
        <x:v>Evidence credibility</x:v>
      </x:c>
    </x:row>
    <x:row r="3">
      <x:c r="A3" s="63" t="str">
        <x:v>Clinical efficacy</x:v>
      </x:c>
      <x:c r="B3" s="63" t="str">
        <x:v>L02</x:v>
      </x:c>
      <x:c r="C3" s="63" t="n">
        <x:v>2</x:v>
      </x:c>
      <x:c r="D3" s="63" t="n">
        <x:v>2</x:v>
      </x:c>
      <x:c r="E3" s="63" t="str">
        <x:v>Clinical efficacy|2</x:v>
      </x:c>
      <x:c r="F3" s="63" t="str">
        <x:v>Signal integration</x:v>
      </x:c>
    </x:row>
    <x:row r="4">
      <x:c r="A4" s="63" t="str">
        <x:v>Clinical efficacy</x:v>
      </x:c>
      <x:c r="B4" s="63" t="str">
        <x:v>L03</x:v>
      </x:c>
      <x:c r="C4" s="63" t="n">
        <x:v>3</x:v>
      </x:c>
      <x:c r="D4" s="63" t="n">
        <x:v>3</x:v>
      </x:c>
      <x:c r="E4" s="63" t="str">
        <x:v>Clinical efficacy|3</x:v>
      </x:c>
      <x:c r="F4" s="63" t="str">
        <x:v>Infection control confidence / disease-control confidence</x:v>
      </x:c>
    </x:row>
    <x:row r="5">
      <x:c r="A5" s="63" t="str">
        <x:v>Clinical efficacy</x:v>
      </x:c>
      <x:c r="B5" s="63" t="str">
        <x:v>L04</x:v>
      </x:c>
      <x:c r="C5" s="63" t="n">
        <x:v>4</x:v>
      </x:c>
      <x:c r="D5" s="63" t="n">
        <x:v>4</x:v>
      </x:c>
      <x:c r="E5" s="63" t="str">
        <x:v>Clinical efficacy|4</x:v>
      </x:c>
      <x:c r="F5" s="63" t="str">
        <x:v>Corroboration</x:v>
      </x:c>
    </x:row>
    <x:row r="6">
      <x:c r="A6" s="63" t="str">
        <x:v>Clinical efficacy</x:v>
      </x:c>
      <x:c r="B6" s="63" t="str">
        <x:v>L05</x:v>
      </x:c>
      <x:c r="C6" s="63" t="n">
        <x:v>5</x:v>
      </x:c>
      <x:c r="D6" s="63" t="n">
        <x:v>5</x:v>
      </x:c>
      <x:c r="E6" s="63" t="str">
        <x:v>Clinical efficacy|5</x:v>
      </x:c>
      <x:c r="F6" s="63" t="str">
        <x:v>Measurement reliability</x:v>
      </x:c>
    </x:row>
    <x:row r="7">
      <x:c r="A7" s="63" t="str">
        <x:v>Clinical efficacy</x:v>
      </x:c>
      <x:c r="B7" s="63" t="str">
        <x:v>L06</x:v>
      </x:c>
      <x:c r="C7" s="63" t="n">
        <x:v>6</x:v>
      </x:c>
      <x:c r="D7" s="63" t="n">
        <x:v>6</x:v>
      </x:c>
      <x:c r="E7" s="63" t="str">
        <x:v>Clinical efficacy|6</x:v>
      </x:c>
      <x:c r="F7" s="63" t="str">
        <x:v>Evidence sufficiency</x:v>
      </x:c>
    </x:row>
    <x:row r="8">
      <x:c r="A8" s="63" t="str">
        <x:v>Clinical efficacy</x:v>
      </x:c>
      <x:c r="B8" s="63" t="str">
        <x:v>L07</x:v>
      </x:c>
      <x:c r="C8" s="63" t="n">
        <x:v>7</x:v>
      </x:c>
      <x:c r="D8" s="63" t="n">
        <x:v>7</x:v>
      </x:c>
      <x:c r="E8" s="63" t="str">
        <x:v>Clinical efficacy|7</x:v>
      </x:c>
      <x:c r="F8" s="63" t="str">
        <x:v>Evidence continuity</x:v>
      </x:c>
    </x:row>
    <x:row r="9">
      <x:c r="A9" s="63" t="str">
        <x:v>Clinical efficacy</x:v>
      </x:c>
      <x:c r="B9" s="63" t="str">
        <x:v>L08</x:v>
      </x:c>
      <x:c r="C9" s="63" t="n">
        <x:v>8</x:v>
      </x:c>
      <x:c r="D9" s="63" t="n">
        <x:v>8</x:v>
      </x:c>
      <x:c r="E9" s="63" t="str">
        <x:v>Clinical efficacy|8</x:v>
      </x:c>
      <x:c r="F9" s="63" t="str">
        <x:v>Design robustness</x:v>
      </x:c>
    </x:row>
    <x:row r="10">
      <x:c r="A10" s="63" t="str">
        <x:v>Clinical efficacy</x:v>
      </x:c>
      <x:c r="B10" s="63" t="str">
        <x:v>L09</x:v>
      </x:c>
      <x:c r="C10" s="63" t="n">
        <x:v>9</x:v>
      </x:c>
      <x:c r="D10" s="63" t="n">
        <x:v>9</x:v>
      </x:c>
      <x:c r="E10" s="63" t="str">
        <x:v>Clinical efficacy|9</x:v>
      </x:c>
      <x:c r="F10" s="63" t="str">
        <x:v>Design interpretability</x:v>
      </x:c>
    </x:row>
    <x:row r="11">
      <x:c r="A11" s="63" t="str">
        <x:v>Clinical efficacy</x:v>
      </x:c>
      <x:c r="B11" s="63" t="str">
        <x:v>L10</x:v>
      </x:c>
      <x:c r="C11" s="63" t="n">
        <x:v>10</x:v>
      </x:c>
      <x:c r="D11" s="63" t="n">
        <x:v>10</x:v>
      </x:c>
      <x:c r="E11" s="63" t="str">
        <x:v>Clinical efficacy|10</x:v>
      </x:c>
      <x:c r="F11" s="63" t="str">
        <x:v>Generalizability</x:v>
      </x:c>
    </x:row>
    <x:row r="12">
      <x:c r="A12" s="63" t="str">
        <x:v>Clinical efficacy</x:v>
      </x:c>
      <x:c r="B12" s="63" t="str">
        <x:v>L11</x:v>
      </x:c>
      <x:c r="C12" s="63" t="n">
        <x:v>11</x:v>
      </x:c>
      <x:c r="D12" s="63" t="n">
        <x:v>11</x:v>
      </x:c>
      <x:c r="E12" s="63" t="str">
        <x:v>Clinical efficacy|11</x:v>
      </x:c>
      <x:c r="F12" s="63" t="str">
        <x:v>Patient selection logic</x:v>
      </x:c>
    </x:row>
    <x:row r="13">
      <x:c r="A13" s="63" t="str">
        <x:v>Clinical efficacy</x:v>
      </x:c>
      <x:c r="B13" s="63" t="str">
        <x:v>L12</x:v>
      </x:c>
      <x:c r="C13" s="63" t="n">
        <x:v>12</x:v>
      </x:c>
      <x:c r="D13" s="63" t="n">
        <x:v>12</x:v>
      </x:c>
      <x:c r="E13" s="63" t="str">
        <x:v>Clinical efficacy|12</x:v>
      </x:c>
      <x:c r="F13" s="63" t="str">
        <x:v>Sequencing logic</x:v>
      </x:c>
    </x:row>
    <x:row r="14">
      <x:c r="A14" s="63" t="str">
        <x:v>Clinical efficacy</x:v>
      </x:c>
      <x:c r="B14" s="63" t="str">
        <x:v>L13</x:v>
      </x:c>
      <x:c r="C14" s="63" t="n">
        <x:v>13</x:v>
      </x:c>
      <x:c r="D14" s="63" t="n">
        <x:v>13</x:v>
      </x:c>
      <x:c r="E14" s="63" t="str">
        <x:v>Clinical efficacy|13</x:v>
      </x:c>
      <x:c r="F14" s="63" t="str">
        <x:v>Magnitude relevance</x:v>
      </x:c>
    </x:row>
    <x:row r="15">
      <x:c r="A15" s="63" t="str">
        <x:v>Clinical efficacy</x:v>
      </x:c>
      <x:c r="B15" s="63" t="str">
        <x:v>L14</x:v>
      </x:c>
      <x:c r="C15" s="63" t="n">
        <x:v>14</x:v>
      </x:c>
      <x:c r="D15" s="63" t="n">
        <x:v>14</x:v>
      </x:c>
      <x:c r="E15" s="63" t="str">
        <x:v>Clinical efficacy|14</x:v>
      </x:c>
      <x:c r="F15" s="63" t="str">
        <x:v>Practice integration</x:v>
      </x:c>
    </x:row>
    <x:row r="16">
      <x:c r="A16" s="63" t="str">
        <x:v>Mechanism</x:v>
      </x:c>
      <x:c r="B16" s="63" t="str">
        <x:v>L01</x:v>
      </x:c>
      <x:c r="C16" s="63" t="n">
        <x:v>1</x:v>
      </x:c>
      <x:c r="D16" s="63" t="n">
        <x:v>1</x:v>
      </x:c>
      <x:c r="E16" s="63" t="str">
        <x:v>Mechanism|1</x:v>
      </x:c>
      <x:c r="F16" s="63" t="str">
        <x:v>Evidence credibility</x:v>
      </x:c>
    </x:row>
    <x:row r="17">
      <x:c r="A17" s="63" t="str">
        <x:v>Mechanism</x:v>
      </x:c>
      <x:c r="B17" s="63" t="str">
        <x:v>L08</x:v>
      </x:c>
      <x:c r="C17" s="63" t="n">
        <x:v>2</x:v>
      </x:c>
      <x:c r="D17" s="63" t="n">
        <x:v>2</x:v>
      </x:c>
      <x:c r="E17" s="63" t="str">
        <x:v>Mechanism|2</x:v>
      </x:c>
      <x:c r="F17" s="63" t="str">
        <x:v>Design robustness</x:v>
      </x:c>
    </x:row>
    <x:row r="18">
      <x:c r="A18" s="63" t="str">
        <x:v>Mechanism</x:v>
      </x:c>
      <x:c r="B18" s="63" t="str">
        <x:v>L09</x:v>
      </x:c>
      <x:c r="C18" s="63" t="n">
        <x:v>3</x:v>
      </x:c>
      <x:c r="D18" s="63" t="n">
        <x:v>3</x:v>
      </x:c>
      <x:c r="E18" s="63" t="str">
        <x:v>Mechanism|3</x:v>
      </x:c>
      <x:c r="F18" s="63" t="str">
        <x:v>Design interpretability</x:v>
      </x:c>
    </x:row>
    <x:row r="19">
      <x:c r="A19" s="63" t="str">
        <x:v>Mechanism</x:v>
      </x:c>
      <x:c r="B19" s="63" t="str">
        <x:v>L14</x:v>
      </x:c>
      <x:c r="C19" s="63" t="n">
        <x:v>4</x:v>
      </x:c>
      <x:c r="D19" s="63" t="n">
        <x:v>4</x:v>
      </x:c>
      <x:c r="E19" s="63" t="str">
        <x:v>Mechanism|4</x:v>
      </x:c>
      <x:c r="F19" s="63" t="str">
        <x:v>Practice integration</x:v>
      </x:c>
    </x:row>
    <x:row r="20">
      <x:c r="A20" s="63" t="str">
        <x:v>Endpoint interpretation</x:v>
      </x:c>
      <x:c r="B20" s="63" t="str">
        <x:v>L02</x:v>
      </x:c>
      <x:c r="C20" s="63" t="n">
        <x:v>1</x:v>
      </x:c>
      <x:c r="D20" s="63" t="n">
        <x:v>1</x:v>
      </x:c>
      <x:c r="E20" s="63" t="str">
        <x:v>Endpoint interpretation|1</x:v>
      </x:c>
      <x:c r="F20" s="63" t="str">
        <x:v>Signal integration</x:v>
      </x:c>
    </x:row>
    <x:row r="21">
      <x:c r="A21" s="63" t="str">
        <x:v>Endpoint interpretation</x:v>
      </x:c>
      <x:c r="B21" s="63" t="str">
        <x:v>L05</x:v>
      </x:c>
      <x:c r="C21" s="63" t="n">
        <x:v>2</x:v>
      </x:c>
      <x:c r="D21" s="63" t="n">
        <x:v>2</x:v>
      </x:c>
      <x:c r="E21" s="63" t="str">
        <x:v>Endpoint interpretation|2</x:v>
      </x:c>
      <x:c r="F21" s="63" t="str">
        <x:v>Measurement reliability</x:v>
      </x:c>
    </x:row>
    <x:row r="22">
      <x:c r="A22" s="63" t="str">
        <x:v>Endpoint interpretation</x:v>
      </x:c>
      <x:c r="B22" s="63" t="str">
        <x:v>L09</x:v>
      </x:c>
      <x:c r="C22" s="63" t="n">
        <x:v>3</x:v>
      </x:c>
      <x:c r="D22" s="63" t="n">
        <x:v>3</x:v>
      </x:c>
      <x:c r="E22" s="63" t="str">
        <x:v>Endpoint interpretation|3</x:v>
      </x:c>
      <x:c r="F22" s="63" t="str">
        <x:v>Design interpretability</x:v>
      </x:c>
    </x:row>
    <x:row r="23">
      <x:c r="A23" s="63" t="str">
        <x:v>Endpoint interpretation</x:v>
      </x:c>
      <x:c r="B23" s="63" t="str">
        <x:v>L10</x:v>
      </x:c>
      <x:c r="C23" s="63" t="n">
        <x:v>4</x:v>
      </x:c>
      <x:c r="D23" s="63" t="n">
        <x:v>4</x:v>
      </x:c>
      <x:c r="E23" s="63" t="str">
        <x:v>Endpoint interpretation|4</x:v>
      </x:c>
      <x:c r="F23" s="63" t="str">
        <x:v>Generalizability</x:v>
      </x:c>
    </x:row>
    <x:row r="24">
      <x:c r="A24" s="63" t="str">
        <x:v>Endpoint interpretation</x:v>
      </x:c>
      <x:c r="B24" s="63" t="str">
        <x:v>L13</x:v>
      </x:c>
      <x:c r="C24" s="63" t="n">
        <x:v>5</x:v>
      </x:c>
      <x:c r="D24" s="63" t="n">
        <x:v>5</x:v>
      </x:c>
      <x:c r="E24" s="63" t="str">
        <x:v>Endpoint interpretation|5</x:v>
      </x:c>
      <x:c r="F24" s="63" t="str">
        <x:v>Magnitude relevance</x:v>
      </x:c>
    </x:row>
    <x:row r="25">
      <x:c r="A25" s="63" t="str">
        <x:v>Practice pattern</x:v>
      </x:c>
      <x:c r="B25" s="63" t="str">
        <x:v>L10</x:v>
      </x:c>
      <x:c r="C25" s="63" t="n">
        <x:v>1</x:v>
      </x:c>
      <x:c r="D25" s="63" t="n">
        <x:v>1</x:v>
      </x:c>
      <x:c r="E25" s="63" t="str">
        <x:v>Practice pattern|1</x:v>
      </x:c>
      <x:c r="F25" s="63" t="str">
        <x:v>Generalizability</x:v>
      </x:c>
    </x:row>
    <x:row r="26">
      <x:c r="A26" s="63" t="str">
        <x:v>Practice pattern</x:v>
      </x:c>
      <x:c r="B26" s="63" t="str">
        <x:v>L11</x:v>
      </x:c>
      <x:c r="C26" s="63" t="n">
        <x:v>2</x:v>
      </x:c>
      <x:c r="D26" s="63" t="n">
        <x:v>2</x:v>
      </x:c>
      <x:c r="E26" s="63" t="str">
        <x:v>Practice pattern|2</x:v>
      </x:c>
      <x:c r="F26" s="63" t="str">
        <x:v>Patient selection logic</x:v>
      </x:c>
    </x:row>
    <x:row r="27">
      <x:c r="A27" s="63" t="str">
        <x:v>Practice pattern</x:v>
      </x:c>
      <x:c r="B27" s="63" t="str">
        <x:v>L12</x:v>
      </x:c>
      <x:c r="C27" s="63" t="n">
        <x:v>3</x:v>
      </x:c>
      <x:c r="D27" s="63" t="n">
        <x:v>3</x:v>
      </x:c>
      <x:c r="E27" s="63" t="str">
        <x:v>Practice pattern|3</x:v>
      </x:c>
      <x:c r="F27" s="63" t="str">
        <x:v>Sequencing logic</x:v>
      </x:c>
    </x:row>
    <x:row r="28">
      <x:c r="A28" s="63" t="str">
        <x:v>Practice pattern</x:v>
      </x:c>
      <x:c r="B28" s="63" t="str">
        <x:v>L14</x:v>
      </x:c>
      <x:c r="C28" s="63" t="n">
        <x:v>4</x:v>
      </x:c>
      <x:c r="D28" s="63" t="n">
        <x:v>4</x:v>
      </x:c>
      <x:c r="E28" s="63" t="str">
        <x:v>Practice pattern|4</x:v>
      </x:c>
      <x:c r="F28" s="63" t="str">
        <x:v>Practice integration</x:v>
      </x:c>
    </x:row>
    <x:row r="29">
      <x:c r="A29" s="63" t="str">
        <x:v>Practice pattern</x:v>
      </x:c>
      <x:c r="B29" s="63" t="str">
        <x:v>L21</x:v>
      </x:c>
      <x:c r="C29" s="63" t="n">
        <x:v>5</x:v>
      </x:c>
      <x:c r="D29" s="63" t="n">
        <x:v>5</x:v>
      </x:c>
      <x:c r="E29" s="63" t="str">
        <x:v>Practice pattern|5</x:v>
      </x:c>
      <x:c r="F29" s="63" t="str">
        <x:v>Workflow friction</x:v>
      </x:c>
    </x:row>
    <x:row r="30">
      <x:c r="A30" s="63" t="str">
        <x:v>Practice pattern</x:v>
      </x:c>
      <x:c r="B30" s="63" t="str">
        <x:v>L22</x:v>
      </x:c>
      <x:c r="C30" s="63" t="n">
        <x:v>6</x:v>
      </x:c>
      <x:c r="D30" s="63" t="n">
        <x:v>6</x:v>
      </x:c>
      <x:c r="E30" s="63" t="str">
        <x:v>Practice pattern|6</x:v>
      </x:c>
      <x:c r="F30" s="63" t="str">
        <x:v>Access/practicality</x:v>
      </x:c>
    </x:row>
    <x:row r="31">
      <x:c r="A31" s="63" t="str">
        <x:v>Generalizability</x:v>
      </x:c>
      <x:c r="B31" s="63" t="str">
        <x:v>L09</x:v>
      </x:c>
      <x:c r="C31" s="63" t="n">
        <x:v>1</x:v>
      </x:c>
      <x:c r="D31" s="63" t="n">
        <x:v>1</x:v>
      </x:c>
      <x:c r="E31" s="63" t="str">
        <x:v>Generalizability|1</x:v>
      </x:c>
      <x:c r="F31" s="63" t="str">
        <x:v>Design interpretability</x:v>
      </x:c>
    </x:row>
    <x:row r="32">
      <x:c r="A32" s="63" t="str">
        <x:v>Generalizability</x:v>
      </x:c>
      <x:c r="B32" s="63" t="str">
        <x:v>L10</x:v>
      </x:c>
      <x:c r="C32" s="63" t="n">
        <x:v>2</x:v>
      </x:c>
      <x:c r="D32" s="63" t="n">
        <x:v>2</x:v>
      </x:c>
      <x:c r="E32" s="63" t="str">
        <x:v>Generalizability|2</x:v>
      </x:c>
      <x:c r="F32" s="63" t="str">
        <x:v>Generalizability</x:v>
      </x:c>
    </x:row>
    <x:row r="33">
      <x:c r="A33" s="63" t="str">
        <x:v>Generalizability</x:v>
      </x:c>
      <x:c r="B33" s="63" t="str">
        <x:v>L11</x:v>
      </x:c>
      <x:c r="C33" s="63" t="n">
        <x:v>3</x:v>
      </x:c>
      <x:c r="D33" s="63" t="n">
        <x:v>3</x:v>
      </x:c>
      <x:c r="E33" s="63" t="str">
        <x:v>Generalizability|3</x:v>
      </x:c>
      <x:c r="F33" s="63" t="str">
        <x:v>Patient selection logic</x:v>
      </x:c>
    </x:row>
    <x:row r="34">
      <x:c r="A34" s="63" t="str">
        <x:v>Generalizability</x:v>
      </x:c>
      <x:c r="B34" s="63" t="str">
        <x:v>L14</x:v>
      </x:c>
      <x:c r="C34" s="63" t="n">
        <x:v>4</x:v>
      </x:c>
      <x:c r="D34" s="63" t="n">
        <x:v>4</x:v>
      </x:c>
      <x:c r="E34" s="63" t="str">
        <x:v>Generalizability|4</x:v>
      </x:c>
      <x:c r="F34" s="63" t="str">
        <x:v>Practice integration</x:v>
      </x:c>
    </x:row>
    <x:row r="35">
      <x:c r="A35" s="63" t="str">
        <x:v>Generalizability</x:v>
      </x:c>
      <x:c r="B35" s="63" t="str">
        <x:v>L22</x:v>
      </x:c>
      <x:c r="C35" s="63" t="n">
        <x:v>5</x:v>
      </x:c>
      <x:c r="D35" s="63" t="n">
        <x:v>5</x:v>
      </x:c>
      <x:c r="E35" s="63" t="str">
        <x:v>Generalizability|5</x:v>
      </x:c>
      <x:c r="F35" s="63" t="str">
        <x:v>Access/practicality</x:v>
      </x:c>
    </x:row>
    <x:row r="36">
      <x:c r="A36" s="63" t="str">
        <x:v>Safety</x:v>
      </x:c>
      <x:c r="B36" s="63" t="str">
        <x:v>L15</x:v>
      </x:c>
      <x:c r="C36" s="63" t="n">
        <x:v>1</x:v>
      </x:c>
      <x:c r="D36" s="63" t="n">
        <x:v>1</x:v>
      </x:c>
      <x:c r="E36" s="63" t="str">
        <x:v>Safety|1</x:v>
      </x:c>
      <x:c r="F36" s="63" t="str">
        <x:v>Safety memory</x:v>
      </x:c>
    </x:row>
    <x:row r="37">
      <x:c r="A37" s="63" t="str">
        <x:v>Safety</x:v>
      </x:c>
      <x:c r="B37" s="63" t="str">
        <x:v>L16</x:v>
      </x:c>
      <x:c r="C37" s="63" t="n">
        <x:v>2</x:v>
      </x:c>
      <x:c r="D37" s="63" t="n">
        <x:v>2</x:v>
      </x:c>
      <x:c r="E37" s="63" t="str">
        <x:v>Safety|2</x:v>
      </x:c>
      <x:c r="F37" s="63" t="str">
        <x:v>Risk tradeoff</x:v>
      </x:c>
    </x:row>
    <x:row r="38">
      <x:c r="A38" s="63" t="str">
        <x:v>Safety</x:v>
      </x:c>
      <x:c r="B38" s="63" t="str">
        <x:v>L17</x:v>
      </x:c>
      <x:c r="C38" s="63" t="n">
        <x:v>3</x:v>
      </x:c>
      <x:c r="D38" s="63" t="n">
        <x:v>3</x:v>
      </x:c>
      <x:c r="E38" s="63" t="str">
        <x:v>Safety|3</x:v>
      </x:c>
      <x:c r="F38" s="63" t="str">
        <x:v>Monitoring burden</x:v>
      </x:c>
    </x:row>
    <x:row r="39">
      <x:c r="A39" s="63" t="str">
        <x:v>Comparative</x:v>
      </x:c>
      <x:c r="B39" s="63" t="str">
        <x:v>L23</x:v>
      </x:c>
      <x:c r="C39" s="63" t="n">
        <x:v>1</x:v>
      </x:c>
      <x:c r="D39" s="63" t="n">
        <x:v>1</x:v>
      </x:c>
      <x:c r="E39" s="63" t="str">
        <x:v>Comparative|1</x:v>
      </x:c>
      <x:c r="F39" s="63" t="str">
        <x:v>Comparative inertia</x:v>
      </x:c>
    </x:row>
    <x:row r="40">
      <x:c r="A40" s="63" t="str">
        <x:v>Comparative</x:v>
      </x:c>
      <x:c r="B40" s="63" t="str">
        <x:v>L24</x:v>
      </x:c>
      <x:c r="C40" s="63" t="n">
        <x:v>2</x:v>
      </x:c>
      <x:c r="D40" s="63" t="n">
        <x:v>2</x:v>
      </x:c>
      <x:c r="E40" s="63" t="str">
        <x:v>Comparative|2</x:v>
      </x:c>
      <x:c r="F40" s="63" t="str">
        <x:v>Differentiation clarity</x:v>
      </x:c>
    </x:row>
    <x:row r="41">
      <x:c r="A41" s="63" t="str">
        <x:v>Comparative</x:v>
      </x:c>
      <x:c r="B41" s="63" t="str">
        <x:v>L25</x:v>
      </x:c>
      <x:c r="C41" s="63" t="n">
        <x:v>3</x:v>
      </x:c>
      <x:c r="D41" s="63" t="n">
        <x:v>3</x:v>
      </x:c>
      <x:c r="E41" s="63" t="str">
        <x:v>Comparative|3</x:v>
      </x:c>
      <x:c r="F41" s="63" t="str">
        <x:v>Switching justification</x:v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6" hidden="0" customWidth="1"/>
    <x:col min="4" max="4" width="14" hidden="0" customWidth="1"/>
    <x:col min="5" max="5" width="24" hidden="0" customWidth="1"/>
    <x:col min="6" max="6" width="22" hidden="0" customWidth="1"/>
    <x:col min="7" max="7" width="42" hidden="0" customWidth="1"/>
    <x:col min="8" max="8" width="44" hidden="0" customWidth="1"/>
    <x:col min="9" max="9" width="12" hidden="0" customWidth="1"/>
    <x:col min="10" max="10" width="12" hidden="0" customWidth="1"/>
    <x:col min="11" max="11" width="12" hidden="0" customWidth="1"/>
    <x:col min="12" max="12" width="14" hidden="0" customWidth="1"/>
    <x:col min="14" max="14" width="26" hidden="0" customWidth="1"/>
    <x:col min="15" max="15" width="52" hidden="0" customWidth="1"/>
  </x:cols>
  <x:sheetData>
    <x:row r="1" ht="24" customHeight="1">
      <x:c r="A1" s="96" t="str">
        <x:v>FeedbackID</x:v>
      </x:c>
      <x:c r="B1" s="96" t="str">
        <x:v>SourceSystem</x:v>
      </x:c>
      <x:c r="C1" s="96" t="str">
        <x:v>SourceRecordID</x:v>
      </x:c>
      <x:c r="D1" s="96" t="str">
        <x:v>TargetSystem</x:v>
      </x:c>
      <x:c r="E1" s="96" t="str">
        <x:v>TargetRecordID</x:v>
      </x:c>
      <x:c r="F1" s="96" t="str">
        <x:v>FeedbackType</x:v>
      </x:c>
      <x:c r="G1" s="96" t="str">
        <x:v>Insight</x:v>
      </x:c>
      <x:c r="H1" s="96" t="str">
        <x:v>RecommendedAdjustment</x:v>
      </x:c>
      <x:c r="I1" s="96" t="str">
        <x:v>Priority</x:v>
      </x:c>
      <x:c r="J1" s="96" t="str">
        <x:v>Status</x:v>
      </x:c>
      <x:c r="K1" s="96" t="str">
        <x:v>AppliedFlag</x:v>
      </x:c>
      <x:c r="L1" s="96" t="str">
        <x:v>AppliedDate</x:v>
      </x:c>
      <x:c r="N1" s="104" t="str">
        <x:v>Loop Design Note</x:v>
      </x:c>
      <x:c r="O1" s="104" t="str">
        <x:v>Definition</x:v>
      </x:c>
    </x:row>
    <x:row r="2" ht="42" customHeight="1">
      <x:c r="A2" s="97" t="str">
        <x:v>FBL-001</x:v>
      </x:c>
      <x:c r="B2" s="97" t="str">
        <x:v>BAOS</x:v>
      </x:c>
      <x:c r="C2" s="97" t="str">
        <x:v>HIV_LAI_LAUNCH_ST01|L01</x:v>
      </x:c>
      <x:c r="D2" s="97" t="str">
        <x:v>MIOS</x:v>
      </x:c>
      <x:c r="E2" s="97" t="str">
        <x:v>HIV_LAI_LAUNCH_ST01</x:v>
      </x:c>
      <x:c r="F2" s="97" t="str">
        <x:v>Evidence corroboration gap</x:v>
      </x:c>
      <x:c r="G2" s="97" t="str">
        <x:v>Repeated evidence-confidence barriers suggest the statement needs stronger corroboration and validation support before it can anchor broad belief shift.</x:v>
      </x:c>
      <x:c r="H2" s="97" t="str">
        <x:v>Add corroborating evidence and strengthen the supporting quote set in Statement_Blueprint / Evidence_Register for ST01.</x:v>
      </x:c>
      <x:c r="I2" s="97" t="str">
        <x:v>High</x:v>
      </x:c>
      <x:c r="J2" s="97" t="str">
        <x:v>Open</x:v>
      </x:c>
      <x:c r="K2" s="98" t="b">
        <x:v>0</x:v>
      </x:c>
      <x:c r="L2" s="99"/>
      <x:c r="N2" s="105" t="str">
        <x:v>SourceSystem</x:v>
      </x:c>
      <x:c r="O2" s="105" t="str">
        <x:v>System where the insight originated.</x:v>
      </x:c>
    </x:row>
    <x:row r="3" ht="42" customHeight="1">
      <x:c r="A3" s="97" t="str">
        <x:v>FBL-002</x:v>
      </x:c>
      <x:c r="B3" s="97" t="str">
        <x:v>BAOS</x:v>
      </x:c>
      <x:c r="C3" s="97" t="str">
        <x:v>HIV_LAI_LAUNCH_ST01|L09</x:v>
      </x:c>
      <x:c r="D3" s="97" t="str">
        <x:v>MIOS</x:v>
      </x:c>
      <x:c r="E3" s="97" t="str">
        <x:v>HIV_LAI_LAUNCH_ST01</x:v>
      </x:c>
      <x:c r="F3" s="97" t="str">
        <x:v>Interpretability refinement</x:v>
      </x:c>
      <x:c r="G3" s="97" t="str">
        <x:v>Physician objections indicate regimen interpretation and practice translation remain underexplained for ST01.</x:v>
      </x:c>
      <x:c r="H3" s="97" t="str">
        <x:v>Refine MIOS statement framing to improve interpretability, sequencing, and patient-selection guidance.</x:v>
      </x:c>
      <x:c r="I3" s="97" t="str">
        <x:v>High</x:v>
      </x:c>
      <x:c r="J3" s="97" t="str">
        <x:v>Open</x:v>
      </x:c>
      <x:c r="K3" s="98" t="b">
        <x:v>0</x:v>
      </x:c>
      <x:c r="L3" s="99"/>
      <x:c r="N3" s="105" t="str">
        <x:v>TargetSystem</x:v>
      </x:c>
      <x:c r="O3" s="105" t="str">
        <x:v>System that must absorb the adjustment.</x:v>
      </x:c>
    </x:row>
    <x:row r="4" ht="42" customHeight="1">
      <x:c r="A4" s="97" t="str">
        <x:v>FBL-003</x:v>
      </x:c>
      <x:c r="B4" s="97" t="str">
        <x:v>BAOS</x:v>
      </x:c>
      <x:c r="C4" s="97" t="str">
        <x:v>HIV_LAI_LAUNCH_ST02|L10</x:v>
      </x:c>
      <x:c r="D4" s="97" t="str">
        <x:v>MIOS</x:v>
      </x:c>
      <x:c r="E4" s="97" t="str">
        <x:v>HIV_LAI_LAUNCH_ST02</x:v>
      </x:c>
      <x:c r="F4" s="97" t="str">
        <x:v>Generalizability gap</x:v>
      </x:c>
      <x:c r="G4" s="97" t="str">
        <x:v>Recurring generalizability objections suggest ST02 needs clearer translation to real-world patient fit.</x:v>
      </x:c>
      <x:c r="H4" s="97" t="str">
        <x:v>Add real-world applicability language and subgroup support to the Medical Map and statement evidence bundle for ST02.</x:v>
      </x:c>
      <x:c r="I4" s="97" t="str">
        <x:v>Medium</x:v>
      </x:c>
      <x:c r="J4" s="97" t="str">
        <x:v>Open</x:v>
      </x:c>
      <x:c r="K4" s="98" t="b">
        <x:v>0</x:v>
      </x:c>
      <x:c r="L4" s="99"/>
      <x:c r="N4" s="105" t="str">
        <x:v>FeedbackType</x:v>
      </x:c>
      <x:c r="O4" s="105" t="str">
        <x:v>Type of loop signal being passed across systems.</x:v>
      </x:c>
    </x:row>
    <x:row r="5" ht="42" customHeight="1">
      <x:c r="A5" s="97" t="str">
        <x:v>FBL-004</x:v>
      </x:c>
      <x:c r="B5" s="97" t="str">
        <x:v>MIOS</x:v>
      </x:c>
      <x:c r="C5" s="97" t="str">
        <x:v>HIV_LAI_LAUNCH_ST01</x:v>
      </x:c>
      <x:c r="D5" s="97" t="str">
        <x:v>BAOS</x:v>
      </x:c>
      <x:c r="E5" s="97" t="str">
        <x:v>HIV_LAI_LAUNCH_ST01</x:v>
      </x:c>
      <x:c r="F5" s="97" t="str">
        <x:v>Barrier-priority request</x:v>
      </x:c>
      <x:c r="G5" s="97" t="str">
        <x:v>High-priority MIOS statement requires expanded objection coverage across evidence-quality and clinical-reasoning lenses.</x:v>
      </x:c>
      <x:c r="H5" s="97" t="str">
        <x:v>Generate and maintain BAOS objection set for all routed high-priority statements.</x:v>
      </x:c>
      <x:c r="I5" s="97" t="str">
        <x:v>High</x:v>
      </x:c>
      <x:c r="J5" s="97" t="str">
        <x:v>Active</x:v>
      </x:c>
      <x:c r="K5" s="98" t="b">
        <x:v>1</x:v>
      </x:c>
      <x:c r="L5" s="99"/>
      <x:c r="N5" s="105" t="str">
        <x:v>AppliedFlag</x:v>
      </x:c>
      <x:c r="O5" s="105" t="str">
        <x:v>TRUE only when the target-side change has actually been implemented.</x:v>
      </x:c>
    </x:row>
    <x:row r="6" ht="42" customHeight="1">
      <x:c r="A6" s="97" t="str">
        <x:v>FBL-005</x:v>
      </x:c>
      <x:c r="B6" s="97" t="str">
        <x:v>MIOS</x:v>
      </x:c>
      <x:c r="C6" s="97" t="str">
        <x:v>HIV_LAI_LAUNCH_ST01</x:v>
      </x:c>
      <x:c r="D6" s="97" t="str">
        <x:v>PIOS</x:v>
      </x:c>
      <x:c r="E6" s="97" t="str">
        <x:v>SIG_HIV_01</x:v>
      </x:c>
      <x:c r="F6" s="97" t="str">
        <x:v>Forecast signal creation</x:v>
      </x:c>
      <x:c r="G6" s="97" t="str">
        <x:v>A high-priority statement with strong support should be represented as an adoption-relevant predictive signal.</x:v>
      </x:c>
      <x:c r="H6" s="97" t="str">
        <x:v>Route the statement into MIOS_to_CIOS_Interface with evidence strength and clinical impact scoring.</x:v>
      </x:c>
      <x:c r="I6" s="97" t="str">
        <x:v>High</x:v>
      </x:c>
      <x:c r="J6" s="97" t="str">
        <x:v>Applied</x:v>
      </x:c>
      <x:c r="K6" s="98" t="b">
        <x:v>1</x:v>
      </x:c>
      <x:c r="L6" s="99" t="str">
        <x:v>2026-03-22</x:v>
      </x:c>
      <x:c r="N6" s="105" t="str">
        <x:v>AppliedDate</x:v>
      </x:c>
      <x:c r="O6" s="105" t="str">
        <x:v>Populate after implementation to distinguish recommendation from execution.</x:v>
      </x:c>
    </x:row>
    <x:row r="7" ht="42" customHeight="1">
      <x:c r="A7" s="97" t="str">
        <x:v>FBL-006</x:v>
      </x:c>
      <x:c r="B7" s="97" t="str">
        <x:v>PIOS</x:v>
      </x:c>
      <x:c r="C7" s="97" t="str">
        <x:v>SIG_HIV_01</x:v>
      </x:c>
      <x:c r="D7" s="97" t="str">
        <x:v>MIOS</x:v>
      </x:c>
      <x:c r="E7" s="97" t="str">
        <x:v>HIV_LAI_LAUNCH_ST01</x:v>
      </x:c>
      <x:c r="F7" s="97" t="str">
        <x:v>Adoption friction signal</x:v>
      </x:c>
      <x:c r="G7" s="97" t="str">
        <x:v>Predictive scoring indicates adoption may be constrained unless evidence clarity and practice translation improve.</x:v>
      </x:c>
      <x:c r="H7" s="97" t="str">
        <x:v>Elevate supporting evidence clarity and create content addressing likely adoption friction in the medical map.</x:v>
      </x:c>
      <x:c r="I7" s="97" t="str">
        <x:v>Medium</x:v>
      </x:c>
      <x:c r="J7" s="97" t="str">
        <x:v>Open</x:v>
      </x:c>
      <x:c r="K7" s="98" t="b">
        <x:v>0</x:v>
      </x:c>
      <x:c r="L7" s="99"/>
    </x:row>
    <x:row r="8" ht="42" customHeight="1">
      <x:c r="A8" s="97" t="str">
        <x:v>FBL-007</x:v>
      </x:c>
      <x:c r="B8" s="97" t="str">
        <x:v>PIOS</x:v>
      </x:c>
      <x:c r="C8" s="97" t="str">
        <x:v>SIG_HIV_02</x:v>
      </x:c>
      <x:c r="D8" s="97" t="str">
        <x:v>BAOS</x:v>
      </x:c>
      <x:c r="E8" s="97" t="str">
        <x:v>HIV_LAI_LAUNCH_ST02</x:v>
      </x:c>
      <x:c r="F8" s="97" t="str">
        <x:v>Comparative barrier escalation</x:v>
      </x:c>
      <x:c r="G8" s="97" t="str">
        <x:v>Forecast layer suggests competitive/comparative objection handling should be prioritized for ST02.</x:v>
      </x:c>
      <x:c r="H8" s="97" t="str">
        <x:v>Expand BAOS comparative lenses and specific HCP objection language for ST02.</x:v>
      </x:c>
      <x:c r="I8" s="97" t="str">
        <x:v>Medium</x:v>
      </x:c>
      <x:c r="J8" s="97" t="str">
        <x:v>Open</x:v>
      </x:c>
      <x:c r="K8" s="98" t="b">
        <x:v>0</x:v>
      </x:c>
      <x:c r="L8" s="99"/>
    </x:row>
    <x:row r="9">
      <x:c r="L9" s="100"/>
    </x:row>
    <x:row r="10">
      <x:c r="L10" s="100"/>
    </x:row>
    <x:row r="11">
      <x:c r="L11" s="100"/>
    </x:row>
    <x:row r="12">
      <x:c r="L12" s="100"/>
    </x:row>
    <x:row r="13">
      <x:c r="L13" s="100"/>
    </x:row>
    <x:row r="14">
      <x:c r="L14" s="100"/>
    </x:row>
    <x:row r="15">
      <x:c r="L15" s="100"/>
    </x:row>
    <x:row r="16">
      <x:c r="L16" s="100"/>
    </x:row>
    <x:row r="17">
      <x:c r="L17" s="100"/>
    </x:row>
    <x:row r="18">
      <x:c r="L18" s="100"/>
    </x:row>
    <x:row r="19">
      <x:c r="L19" s="100"/>
    </x:row>
    <x:row r="20">
      <x:c r="L20" s="100"/>
    </x:row>
    <x:row r="21">
      <x:c r="L21" s="100"/>
    </x:row>
    <x:row r="22">
      <x:c r="L22" s="100"/>
    </x:row>
    <x:row r="23">
      <x:c r="L23" s="100"/>
    </x:row>
    <x:row r="24">
      <x:c r="L24" s="100"/>
    </x:row>
    <x:row r="25">
      <x:c r="L25" s="100"/>
    </x:row>
    <x:row r="26">
      <x:c r="L26" s="100"/>
    </x:row>
    <x:row r="27">
      <x:c r="L27" s="100"/>
    </x:row>
    <x:row r="28">
      <x:c r="L28" s="100"/>
    </x:row>
    <x:row r="29">
      <x:c r="L29" s="100"/>
    </x:row>
    <x:row r="30">
      <x:c r="L30" s="100"/>
    </x:row>
    <x:row r="31">
      <x:c r="L31" s="100"/>
    </x:row>
    <x:row r="32">
      <x:c r="L32" s="100"/>
    </x:row>
    <x:row r="33">
      <x:c r="L33" s="100"/>
    </x:row>
    <x:row r="34">
      <x:c r="L34" s="100"/>
    </x:row>
    <x:row r="35">
      <x:c r="L35" s="100"/>
    </x:row>
    <x:row r="36">
      <x:c r="L36" s="100"/>
    </x:row>
    <x:row r="37">
      <x:c r="L37" s="100"/>
    </x:row>
    <x:row r="38">
      <x:c r="L38" s="100"/>
    </x:row>
    <x:row r="39">
      <x:c r="L39" s="100"/>
    </x:row>
    <x:row r="40">
      <x:c r="L40" s="100"/>
    </x:row>
    <x:row r="41">
      <x:c r="L41" s="100"/>
    </x:row>
    <x:row r="42">
      <x:c r="L42" s="100"/>
    </x:row>
    <x:row r="43">
      <x:c r="L43" s="100"/>
    </x:row>
    <x:row r="44">
      <x:c r="L44" s="100"/>
    </x:row>
    <x:row r="45">
      <x:c r="L45" s="100"/>
    </x:row>
    <x:row r="46">
      <x:c r="L46" s="100"/>
    </x:row>
    <x:row r="47">
      <x:c r="L47" s="100"/>
    </x:row>
    <x:row r="48">
      <x:c r="L48" s="100"/>
    </x:row>
    <x:row r="49">
      <x:c r="L49" s="100"/>
    </x:row>
    <x:row r="50">
      <x:c r="L50" s="100"/>
    </x:row>
    <x:row r="51">
      <x:c r="L51" s="100"/>
    </x:row>
    <x:row r="52">
      <x:c r="L52" s="100"/>
    </x:row>
    <x:row r="53">
      <x:c r="L53" s="100"/>
    </x:row>
    <x:row r="54">
      <x:c r="L54" s="100"/>
    </x:row>
    <x:row r="55">
      <x:c r="L55" s="100"/>
    </x:row>
    <x:row r="56">
      <x:c r="L56" s="100"/>
    </x:row>
    <x:row r="57">
      <x:c r="L57" s="100"/>
    </x:row>
    <x:row r="58">
      <x:c r="L58" s="100"/>
    </x:row>
    <x:row r="59">
      <x:c r="L59" s="100"/>
    </x:row>
    <x:row r="60">
      <x:c r="L60" s="100"/>
    </x:row>
    <x:row r="61">
      <x:c r="L61" s="100"/>
    </x:row>
    <x:row r="62">
      <x:c r="L62" s="100"/>
    </x:row>
    <x:row r="63">
      <x:c r="L63" s="100"/>
    </x:row>
    <x:row r="64">
      <x:c r="L64" s="100"/>
    </x:row>
    <x:row r="65">
      <x:c r="L65" s="100"/>
    </x:row>
    <x:row r="66">
      <x:c r="L66" s="100"/>
    </x:row>
    <x:row r="67">
      <x:c r="L67" s="100"/>
    </x:row>
    <x:row r="68">
      <x:c r="L68" s="100"/>
    </x:row>
    <x:row r="69">
      <x:c r="L69" s="100"/>
    </x:row>
    <x:row r="70">
      <x:c r="L70" s="100"/>
    </x:row>
    <x:row r="71">
      <x:c r="L71" s="100"/>
    </x:row>
    <x:row r="72">
      <x:c r="L72" s="100"/>
    </x:row>
    <x:row r="73">
      <x:c r="L73" s="100"/>
    </x:row>
    <x:row r="74">
      <x:c r="L74" s="100"/>
    </x:row>
    <x:row r="75">
      <x:c r="L75" s="100"/>
    </x:row>
    <x:row r="76">
      <x:c r="L76" s="100"/>
    </x:row>
    <x:row r="77">
      <x:c r="L77" s="100"/>
    </x:row>
    <x:row r="78">
      <x:c r="L78" s="100"/>
    </x:row>
    <x:row r="79">
      <x:c r="L79" s="100"/>
    </x:row>
    <x:row r="80">
      <x:c r="L80" s="100"/>
    </x:row>
    <x:row r="81">
      <x:c r="L81" s="100"/>
    </x:row>
    <x:row r="82">
      <x:c r="L82" s="100"/>
    </x:row>
    <x:row r="83">
      <x:c r="L83" s="100"/>
    </x:row>
    <x:row r="84">
      <x:c r="L84" s="100"/>
    </x:row>
    <x:row r="85">
      <x:c r="L85" s="100"/>
    </x:row>
    <x:row r="86">
      <x:c r="L86" s="100"/>
    </x:row>
    <x:row r="87">
      <x:c r="L87" s="100"/>
    </x:row>
    <x:row r="88">
      <x:c r="L88" s="100"/>
    </x:row>
    <x:row r="89">
      <x:c r="L89" s="100"/>
    </x:row>
    <x:row r="90">
      <x:c r="L90" s="100"/>
    </x:row>
    <x:row r="91">
      <x:c r="L91" s="100"/>
    </x:row>
    <x:row r="92">
      <x:c r="L92" s="100"/>
    </x:row>
    <x:row r="93">
      <x:c r="L93" s="100"/>
    </x:row>
    <x:row r="94">
      <x:c r="L94" s="100"/>
    </x:row>
    <x:row r="95">
      <x:c r="L95" s="100"/>
    </x:row>
    <x:row r="96">
      <x:c r="L96" s="100"/>
    </x:row>
    <x:row r="97">
      <x:c r="L97" s="100"/>
    </x:row>
    <x:row r="98">
      <x:c r="L98" s="100"/>
    </x:row>
    <x:row r="99">
      <x:c r="L99" s="100"/>
    </x:row>
    <x:row r="100">
      <x:c r="L100" s="100"/>
    </x:row>
    <x:row r="101">
      <x:c r="L101" s="100"/>
    </x:row>
    <x:row r="102">
      <x:c r="L102" s="100"/>
    </x:row>
    <x:row r="103">
      <x:c r="L103" s="100"/>
    </x:row>
    <x:row r="104">
      <x:c r="L104" s="100"/>
    </x:row>
    <x:row r="105">
      <x:c r="L105" s="100"/>
    </x:row>
    <x:row r="106">
      <x:c r="L106" s="100"/>
    </x:row>
    <x:row r="107">
      <x:c r="L107" s="100"/>
    </x:row>
    <x:row r="108">
      <x:c r="L108" s="100"/>
    </x:row>
    <x:row r="109">
      <x:c r="L109" s="100"/>
    </x:row>
    <x:row r="110">
      <x:c r="L110" s="100"/>
    </x:row>
    <x:row r="111">
      <x:c r="L111" s="100"/>
    </x:row>
    <x:row r="112">
      <x:c r="L112" s="100"/>
    </x:row>
    <x:row r="113">
      <x:c r="L113" s="100"/>
    </x:row>
    <x:row r="114">
      <x:c r="L114" s="100"/>
    </x:row>
    <x:row r="115">
      <x:c r="L115" s="100"/>
    </x:row>
    <x:row r="116">
      <x:c r="L116" s="100"/>
    </x:row>
    <x:row r="117">
      <x:c r="L117" s="100"/>
    </x:row>
    <x:row r="118">
      <x:c r="L118" s="100"/>
    </x:row>
    <x:row r="119">
      <x:c r="L119" s="100"/>
    </x:row>
    <x:row r="120">
      <x:c r="L120" s="100"/>
    </x:row>
    <x:row r="121">
      <x:c r="L121" s="100"/>
    </x:row>
    <x:row r="122">
      <x:c r="L122" s="100"/>
    </x:row>
    <x:row r="123">
      <x:c r="L123" s="100"/>
    </x:row>
    <x:row r="124">
      <x:c r="L124" s="100"/>
    </x:row>
    <x:row r="125">
      <x:c r="L125" s="100"/>
    </x:row>
    <x:row r="126">
      <x:c r="L126" s="100"/>
    </x:row>
    <x:row r="127">
      <x:c r="L127" s="100"/>
    </x:row>
    <x:row r="128">
      <x:c r="L128" s="100"/>
    </x:row>
    <x:row r="129">
      <x:c r="L129" s="100"/>
    </x:row>
    <x:row r="130">
      <x:c r="L130" s="100"/>
    </x:row>
    <x:row r="131">
      <x:c r="L131" s="100"/>
    </x:row>
    <x:row r="132">
      <x:c r="L132" s="100"/>
    </x:row>
    <x:row r="133">
      <x:c r="L133" s="100"/>
    </x:row>
    <x:row r="134">
      <x:c r="L134" s="100"/>
    </x:row>
    <x:row r="135">
      <x:c r="L135" s="100"/>
    </x:row>
    <x:row r="136">
      <x:c r="L136" s="100"/>
    </x:row>
    <x:row r="137">
      <x:c r="L137" s="100"/>
    </x:row>
    <x:row r="138">
      <x:c r="L138" s="100"/>
    </x:row>
    <x:row r="139">
      <x:c r="L139" s="100"/>
    </x:row>
    <x:row r="140">
      <x:c r="L140" s="100"/>
    </x:row>
    <x:row r="141">
      <x:c r="L141" s="100"/>
    </x:row>
    <x:row r="142">
      <x:c r="L142" s="100"/>
    </x:row>
    <x:row r="143">
      <x:c r="L143" s="100"/>
    </x:row>
    <x:row r="144">
      <x:c r="L144" s="100"/>
    </x:row>
    <x:row r="145">
      <x:c r="L145" s="100"/>
    </x:row>
    <x:row r="146">
      <x:c r="L146" s="100"/>
    </x:row>
    <x:row r="147">
      <x:c r="L147" s="100"/>
    </x:row>
    <x:row r="148">
      <x:c r="L148" s="100"/>
    </x:row>
    <x:row r="149">
      <x:c r="L149" s="100"/>
    </x:row>
    <x:row r="150">
      <x:c r="L150" s="100"/>
    </x:row>
    <x:row r="151">
      <x:c r="L151" s="100"/>
    </x:row>
    <x:row r="152">
      <x:c r="L152" s="100"/>
    </x:row>
    <x:row r="153">
      <x:c r="L153" s="100"/>
    </x:row>
    <x:row r="154">
      <x:c r="L154" s="100"/>
    </x:row>
    <x:row r="155">
      <x:c r="L155" s="100"/>
    </x:row>
    <x:row r="156">
      <x:c r="L156" s="100"/>
    </x:row>
    <x:row r="157">
      <x:c r="L157" s="100"/>
    </x:row>
    <x:row r="158">
      <x:c r="L158" s="100"/>
    </x:row>
    <x:row r="159">
      <x:c r="L159" s="100"/>
    </x:row>
    <x:row r="160">
      <x:c r="L160" s="100"/>
    </x:row>
    <x:row r="161">
      <x:c r="L161" s="100"/>
    </x:row>
    <x:row r="162">
      <x:c r="L162" s="100"/>
    </x:row>
    <x:row r="163">
      <x:c r="L163" s="100"/>
    </x:row>
    <x:row r="164">
      <x:c r="L164" s="100"/>
    </x:row>
    <x:row r="165">
      <x:c r="L165" s="100"/>
    </x:row>
    <x:row r="166">
      <x:c r="L166" s="100"/>
    </x:row>
    <x:row r="167">
      <x:c r="L167" s="100"/>
    </x:row>
    <x:row r="168">
      <x:c r="L168" s="100"/>
    </x:row>
    <x:row r="169">
      <x:c r="L169" s="100"/>
    </x:row>
    <x:row r="170">
      <x:c r="L170" s="100"/>
    </x:row>
    <x:row r="171">
      <x:c r="L171" s="100"/>
    </x:row>
    <x:row r="172">
      <x:c r="L172" s="100"/>
    </x:row>
    <x:row r="173">
      <x:c r="L173" s="100"/>
    </x:row>
    <x:row r="174">
      <x:c r="L174" s="100"/>
    </x:row>
    <x:row r="175">
      <x:c r="L175" s="100"/>
    </x:row>
    <x:row r="176">
      <x:c r="L176" s="100"/>
    </x:row>
    <x:row r="177">
      <x:c r="L177" s="100"/>
    </x:row>
    <x:row r="178">
      <x:c r="L178" s="100"/>
    </x:row>
    <x:row r="179">
      <x:c r="L179" s="100"/>
    </x:row>
    <x:row r="180">
      <x:c r="L180" s="100"/>
    </x:row>
    <x:row r="181">
      <x:c r="L181" s="100"/>
    </x:row>
    <x:row r="182">
      <x:c r="L182" s="100"/>
    </x:row>
    <x:row r="183">
      <x:c r="L183" s="100"/>
    </x:row>
    <x:row r="184">
      <x:c r="L184" s="100"/>
    </x:row>
    <x:row r="185">
      <x:c r="L185" s="100"/>
    </x:row>
    <x:row r="186">
      <x:c r="L186" s="100"/>
    </x:row>
    <x:row r="187">
      <x:c r="L187" s="100"/>
    </x:row>
    <x:row r="188">
      <x:c r="L188" s="100"/>
    </x:row>
    <x:row r="189">
      <x:c r="L189" s="100"/>
    </x:row>
    <x:row r="190">
      <x:c r="L190" s="100"/>
    </x:row>
    <x:row r="191">
      <x:c r="L191" s="100"/>
    </x:row>
    <x:row r="192">
      <x:c r="L192" s="100"/>
    </x:row>
    <x:row r="193">
      <x:c r="L193" s="100"/>
    </x:row>
    <x:row r="194">
      <x:c r="L194" s="100"/>
    </x:row>
    <x:row r="195">
      <x:c r="L195" s="100"/>
    </x:row>
    <x:row r="196">
      <x:c r="L196" s="100"/>
    </x:row>
    <x:row r="197">
      <x:c r="L197" s="100"/>
    </x:row>
    <x:row r="198">
      <x:c r="L198" s="100"/>
    </x:row>
    <x:row r="199">
      <x:c r="L199" s="100"/>
    </x:row>
    <x:row r="200">
      <x:c r="L200" s="100"/>
    </x:row>
    <x:row r="201">
      <x:c r="L201" s="100"/>
    </x:row>
    <x:row r="202">
      <x:c r="L202" s="100"/>
    </x:row>
    <x:row r="203">
      <x:c r="L203" s="100"/>
    </x:row>
    <x:row r="204">
      <x:c r="L204" s="100"/>
    </x:row>
    <x:row r="205">
      <x:c r="L205" s="100"/>
    </x:row>
    <x:row r="206">
      <x:c r="L206" s="100"/>
    </x:row>
    <x:row r="207">
      <x:c r="L207" s="100"/>
    </x:row>
    <x:row r="208">
      <x:c r="L208" s="100"/>
    </x:row>
    <x:row r="209">
      <x:c r="L209" s="100"/>
    </x:row>
    <x:row r="210">
      <x:c r="L210" s="100"/>
    </x:row>
    <x:row r="211">
      <x:c r="L211" s="100"/>
    </x:row>
    <x:row r="212">
      <x:c r="L212" s="100"/>
    </x:row>
    <x:row r="213">
      <x:c r="L213" s="100"/>
    </x:row>
    <x:row r="214">
      <x:c r="L214" s="100"/>
    </x:row>
    <x:row r="215">
      <x:c r="L215" s="100"/>
    </x:row>
    <x:row r="216">
      <x:c r="L216" s="100"/>
    </x:row>
    <x:row r="217">
      <x:c r="L217" s="100"/>
    </x:row>
    <x:row r="218">
      <x:c r="L218" s="100"/>
    </x:row>
    <x:row r="219">
      <x:c r="L219" s="100"/>
    </x:row>
    <x:row r="220">
      <x:c r="L220" s="100"/>
    </x:row>
    <x:row r="221">
      <x:c r="L221" s="100"/>
    </x:row>
    <x:row r="222">
      <x:c r="L222" s="100"/>
    </x:row>
    <x:row r="223">
      <x:c r="L223" s="100"/>
    </x:row>
    <x:row r="224">
      <x:c r="L224" s="100"/>
    </x:row>
    <x:row r="225">
      <x:c r="L225" s="100"/>
    </x:row>
    <x:row r="226">
      <x:c r="L226" s="100"/>
    </x:row>
    <x:row r="227">
      <x:c r="L227" s="100"/>
    </x:row>
    <x:row r="228">
      <x:c r="L228" s="100"/>
    </x:row>
    <x:row r="229">
      <x:c r="L229" s="100"/>
    </x:row>
    <x:row r="230">
      <x:c r="L230" s="100"/>
    </x:row>
    <x:row r="231">
      <x:c r="L231" s="100"/>
    </x:row>
    <x:row r="232">
      <x:c r="L232" s="100"/>
    </x:row>
    <x:row r="233">
      <x:c r="L233" s="100"/>
    </x:row>
    <x:row r="234">
      <x:c r="L234" s="100"/>
    </x:row>
    <x:row r="235">
      <x:c r="L235" s="100"/>
    </x:row>
    <x:row r="236">
      <x:c r="L236" s="100"/>
    </x:row>
    <x:row r="237">
      <x:c r="L237" s="100"/>
    </x:row>
    <x:row r="238">
      <x:c r="L238" s="100"/>
    </x:row>
    <x:row r="239">
      <x:c r="L239" s="100"/>
    </x:row>
    <x:row r="240">
      <x:c r="L240" s="100"/>
    </x:row>
    <x:row r="241">
      <x:c r="L241" s="100"/>
    </x:row>
    <x:row r="242">
      <x:c r="L242" s="100"/>
    </x:row>
    <x:row r="243">
      <x:c r="L243" s="100"/>
    </x:row>
    <x:row r="244">
      <x:c r="L244" s="100"/>
    </x:row>
    <x:row r="245">
      <x:c r="L245" s="100"/>
    </x:row>
    <x:row r="246">
      <x:c r="L246" s="100"/>
    </x:row>
    <x:row r="247">
      <x:c r="L247" s="100"/>
    </x:row>
    <x:row r="248">
      <x:c r="L248" s="100"/>
    </x:row>
    <x:row r="249">
      <x:c r="L249" s="100"/>
    </x:row>
    <x:row r="250">
      <x:c r="L250" s="100"/>
    </x:row>
    <x:row r="251">
      <x:c r="L251" s="100"/>
    </x:row>
    <x:row r="252">
      <x:c r="L252" s="100"/>
    </x:row>
    <x:row r="253">
      <x:c r="L253" s="100"/>
    </x:row>
    <x:row r="254">
      <x:c r="L254" s="100"/>
    </x:row>
    <x:row r="255">
      <x:c r="L255" s="100"/>
    </x:row>
    <x:row r="256">
      <x:c r="L256" s="100"/>
    </x:row>
    <x:row r="257">
      <x:c r="L257" s="100"/>
    </x:row>
    <x:row r="258">
      <x:c r="L258" s="100"/>
    </x:row>
    <x:row r="259">
      <x:c r="L259" s="100"/>
    </x:row>
    <x:row r="260">
      <x:c r="L260" s="100"/>
    </x:row>
    <x:row r="261">
      <x:c r="L261" s="100"/>
    </x:row>
    <x:row r="262">
      <x:c r="L262" s="100"/>
    </x:row>
    <x:row r="263">
      <x:c r="L263" s="100"/>
    </x:row>
    <x:row r="264">
      <x:c r="L264" s="100"/>
    </x:row>
    <x:row r="265">
      <x:c r="L265" s="100"/>
    </x:row>
    <x:row r="266">
      <x:c r="L266" s="100"/>
    </x:row>
    <x:row r="267">
      <x:c r="L267" s="100"/>
    </x:row>
    <x:row r="268">
      <x:c r="L268" s="100"/>
    </x:row>
    <x:row r="269">
      <x:c r="L269" s="100"/>
    </x:row>
    <x:row r="270">
      <x:c r="L270" s="100"/>
    </x:row>
    <x:row r="271">
      <x:c r="L271" s="100"/>
    </x:row>
    <x:row r="272">
      <x:c r="L272" s="100"/>
    </x:row>
    <x:row r="273">
      <x:c r="L273" s="100"/>
    </x:row>
    <x:row r="274">
      <x:c r="L274" s="100"/>
    </x:row>
    <x:row r="275">
      <x:c r="L275" s="100"/>
    </x:row>
    <x:row r="276">
      <x:c r="L276" s="100"/>
    </x:row>
    <x:row r="277">
      <x:c r="L277" s="100"/>
    </x:row>
    <x:row r="278">
      <x:c r="L278" s="100"/>
    </x:row>
    <x:row r="279">
      <x:c r="L279" s="100"/>
    </x:row>
    <x:row r="280">
      <x:c r="L280" s="100"/>
    </x:row>
    <x:row r="281">
      <x:c r="L281" s="100"/>
    </x:row>
    <x:row r="282">
      <x:c r="L282" s="100"/>
    </x:row>
    <x:row r="283">
      <x:c r="L283" s="100"/>
    </x:row>
    <x:row r="284">
      <x:c r="L284" s="100"/>
    </x:row>
    <x:row r="285">
      <x:c r="L285" s="100"/>
    </x:row>
    <x:row r="286">
      <x:c r="L286" s="100"/>
    </x:row>
    <x:row r="287">
      <x:c r="L287" s="100"/>
    </x:row>
    <x:row r="288">
      <x:c r="L288" s="100"/>
    </x:row>
    <x:row r="289">
      <x:c r="L289" s="100"/>
    </x:row>
    <x:row r="290">
      <x:c r="L290" s="100"/>
    </x:row>
    <x:row r="291">
      <x:c r="L291" s="100"/>
    </x:row>
    <x:row r="292">
      <x:c r="L292" s="100"/>
    </x:row>
    <x:row r="293">
      <x:c r="L293" s="100"/>
    </x:row>
    <x:row r="294">
      <x:c r="L294" s="100"/>
    </x:row>
    <x:row r="295">
      <x:c r="L295" s="100"/>
    </x:row>
    <x:row r="296">
      <x:c r="L296" s="100"/>
    </x:row>
    <x:row r="297">
      <x:c r="L297" s="100"/>
    </x:row>
    <x:row r="298">
      <x:c r="L298" s="100"/>
    </x:row>
    <x:row r="299">
      <x:c r="L299" s="100"/>
    </x:row>
    <x:row r="300">
      <x:c r="L300" s="100"/>
    </x:row>
    <x:row r="301">
      <x:c r="L301" s="100"/>
    </x:row>
    <x:row r="302">
      <x:c r="L302" s="100"/>
    </x:row>
    <x:row r="303">
      <x:c r="L303" s="100"/>
    </x:row>
    <x:row r="304">
      <x:c r="L304" s="100"/>
    </x:row>
    <x:row r="305">
      <x:c r="L305" s="100"/>
    </x:row>
    <x:row r="306">
      <x:c r="L306" s="100"/>
    </x:row>
    <x:row r="307">
      <x:c r="L307" s="100"/>
    </x:row>
    <x:row r="308">
      <x:c r="L308" s="100"/>
    </x:row>
    <x:row r="309">
      <x:c r="L309" s="100"/>
    </x:row>
    <x:row r="310">
      <x:c r="L310" s="100"/>
    </x:row>
    <x:row r="311">
      <x:c r="L311" s="100"/>
    </x:row>
    <x:row r="312">
      <x:c r="L312" s="100"/>
    </x:row>
    <x:row r="313">
      <x:c r="L313" s="100"/>
    </x:row>
    <x:row r="314">
      <x:c r="L314" s="100"/>
    </x:row>
    <x:row r="315">
      <x:c r="L315" s="100"/>
    </x:row>
    <x:row r="316">
      <x:c r="L316" s="100"/>
    </x:row>
    <x:row r="317">
      <x:c r="L317" s="100"/>
    </x:row>
    <x:row r="318">
      <x:c r="L318" s="100"/>
    </x:row>
    <x:row r="319">
      <x:c r="L319" s="100"/>
    </x:row>
    <x:row r="320">
      <x:c r="L320" s="100"/>
    </x:row>
    <x:row r="321">
      <x:c r="L321" s="100"/>
    </x:row>
    <x:row r="322">
      <x:c r="L322" s="100"/>
    </x:row>
    <x:row r="323">
      <x:c r="L323" s="100"/>
    </x:row>
    <x:row r="324">
      <x:c r="L324" s="100"/>
    </x:row>
    <x:row r="325">
      <x:c r="L325" s="100"/>
    </x:row>
    <x:row r="326">
      <x:c r="L326" s="100"/>
    </x:row>
    <x:row r="327">
      <x:c r="L327" s="100"/>
    </x:row>
    <x:row r="328">
      <x:c r="L328" s="100"/>
    </x:row>
    <x:row r="329">
      <x:c r="L329" s="100"/>
    </x:row>
    <x:row r="330">
      <x:c r="L330" s="100"/>
    </x:row>
    <x:row r="331">
      <x:c r="L331" s="100"/>
    </x:row>
    <x:row r="332">
      <x:c r="L332" s="100"/>
    </x:row>
    <x:row r="333">
      <x:c r="L333" s="100"/>
    </x:row>
    <x:row r="334">
      <x:c r="L334" s="100"/>
    </x:row>
    <x:row r="335">
      <x:c r="L335" s="100"/>
    </x:row>
    <x:row r="336">
      <x:c r="L336" s="100"/>
    </x:row>
    <x:row r="337">
      <x:c r="L337" s="100"/>
    </x:row>
    <x:row r="338">
      <x:c r="L338" s="100"/>
    </x:row>
    <x:row r="339">
      <x:c r="L339" s="100"/>
    </x:row>
    <x:row r="340">
      <x:c r="L340" s="100"/>
    </x:row>
    <x:row r="341">
      <x:c r="L341" s="100"/>
    </x:row>
    <x:row r="342">
      <x:c r="L342" s="100"/>
    </x:row>
    <x:row r="343">
      <x:c r="L343" s="100"/>
    </x:row>
    <x:row r="344">
      <x:c r="L344" s="100"/>
    </x:row>
    <x:row r="345">
      <x:c r="L345" s="100"/>
    </x:row>
    <x:row r="346">
      <x:c r="L346" s="100"/>
    </x:row>
    <x:row r="347">
      <x:c r="L347" s="100"/>
    </x:row>
    <x:row r="348">
      <x:c r="L348" s="100"/>
    </x:row>
    <x:row r="349">
      <x:c r="L349" s="100"/>
    </x:row>
    <x:row r="350">
      <x:c r="L350" s="100"/>
    </x:row>
    <x:row r="351">
      <x:c r="L351" s="100"/>
    </x:row>
    <x:row r="352">
      <x:c r="L352" s="100"/>
    </x:row>
    <x:row r="353">
      <x:c r="L353" s="100"/>
    </x:row>
    <x:row r="354">
      <x:c r="L354" s="100"/>
    </x:row>
    <x:row r="355">
      <x:c r="L355" s="100"/>
    </x:row>
    <x:row r="356">
      <x:c r="L356" s="100"/>
    </x:row>
    <x:row r="357">
      <x:c r="L357" s="100"/>
    </x:row>
    <x:row r="358">
      <x:c r="L358" s="100"/>
    </x:row>
    <x:row r="359">
      <x:c r="L359" s="100"/>
    </x:row>
    <x:row r="360">
      <x:c r="L360" s="100"/>
    </x:row>
    <x:row r="361">
      <x:c r="L361" s="100"/>
    </x:row>
    <x:row r="362">
      <x:c r="L362" s="100"/>
    </x:row>
    <x:row r="363">
      <x:c r="L363" s="100"/>
    </x:row>
    <x:row r="364">
      <x:c r="L364" s="100"/>
    </x:row>
    <x:row r="365">
      <x:c r="L365" s="100"/>
    </x:row>
    <x:row r="366">
      <x:c r="L366" s="100"/>
    </x:row>
    <x:row r="367">
      <x:c r="L367" s="100"/>
    </x:row>
    <x:row r="368">
      <x:c r="L368" s="100"/>
    </x:row>
    <x:row r="369">
      <x:c r="L369" s="100"/>
    </x:row>
    <x:row r="370">
      <x:c r="L370" s="100"/>
    </x:row>
    <x:row r="371">
      <x:c r="L371" s="100"/>
    </x:row>
    <x:row r="372">
      <x:c r="L372" s="100"/>
    </x:row>
    <x:row r="373">
      <x:c r="L373" s="100"/>
    </x:row>
    <x:row r="374">
      <x:c r="L374" s="100"/>
    </x:row>
    <x:row r="375">
      <x:c r="L375" s="100"/>
    </x:row>
    <x:row r="376">
      <x:c r="L376" s="100"/>
    </x:row>
    <x:row r="377">
      <x:c r="L377" s="100"/>
    </x:row>
    <x:row r="378">
      <x:c r="L378" s="100"/>
    </x:row>
    <x:row r="379">
      <x:c r="L379" s="100"/>
    </x:row>
    <x:row r="380">
      <x:c r="L380" s="100"/>
    </x:row>
    <x:row r="381">
      <x:c r="L381" s="100"/>
    </x:row>
    <x:row r="382">
      <x:c r="L382" s="100"/>
    </x:row>
    <x:row r="383">
      <x:c r="L383" s="100"/>
    </x:row>
    <x:row r="384">
      <x:c r="L384" s="100"/>
    </x:row>
    <x:row r="385">
      <x:c r="L385" s="100"/>
    </x:row>
    <x:row r="386">
      <x:c r="L386" s="100"/>
    </x:row>
    <x:row r="387">
      <x:c r="L387" s="100"/>
    </x:row>
    <x:row r="388">
      <x:c r="L388" s="100"/>
    </x:row>
    <x:row r="389">
      <x:c r="L389" s="100"/>
    </x:row>
    <x:row r="390">
      <x:c r="L390" s="100"/>
    </x:row>
    <x:row r="391">
      <x:c r="L391" s="100"/>
    </x:row>
    <x:row r="392">
      <x:c r="L392" s="100"/>
    </x:row>
    <x:row r="393">
      <x:c r="L393" s="100"/>
    </x:row>
    <x:row r="394">
      <x:c r="L394" s="100"/>
    </x:row>
    <x:row r="395">
      <x:c r="L395" s="100"/>
    </x:row>
    <x:row r="396">
      <x:c r="L396" s="100"/>
    </x:row>
    <x:row r="397">
      <x:c r="L397" s="100"/>
    </x:row>
    <x:row r="398">
      <x:c r="L398" s="100"/>
    </x:row>
    <x:row r="399">
      <x:c r="L399" s="100"/>
    </x:row>
    <x:row r="400">
      <x:c r="L400" s="100"/>
    </x:row>
    <x:row r="401">
      <x:c r="L401" s="100"/>
    </x:row>
    <x:row r="402">
      <x:c r="L402" s="100"/>
    </x:row>
    <x:row r="403">
      <x:c r="L403" s="100"/>
    </x:row>
    <x:row r="404">
      <x:c r="L404" s="100"/>
    </x:row>
    <x:row r="405">
      <x:c r="L405" s="100"/>
    </x:row>
    <x:row r="406">
      <x:c r="L406" s="100"/>
    </x:row>
    <x:row r="407">
      <x:c r="L407" s="100"/>
    </x:row>
    <x:row r="408">
      <x:c r="L408" s="100"/>
    </x:row>
    <x:row r="409">
      <x:c r="L409" s="100"/>
    </x:row>
    <x:row r="410">
      <x:c r="L410" s="100"/>
    </x:row>
    <x:row r="411">
      <x:c r="L411" s="100"/>
    </x:row>
    <x:row r="412">
      <x:c r="L412" s="100"/>
    </x:row>
    <x:row r="413">
      <x:c r="L413" s="100"/>
    </x:row>
    <x:row r="414">
      <x:c r="L414" s="100"/>
    </x:row>
    <x:row r="415">
      <x:c r="L415" s="100"/>
    </x:row>
    <x:row r="416">
      <x:c r="L416" s="100"/>
    </x:row>
    <x:row r="417">
      <x:c r="L417" s="100"/>
    </x:row>
    <x:row r="418">
      <x:c r="L418" s="100"/>
    </x:row>
    <x:row r="419">
      <x:c r="L419" s="100"/>
    </x:row>
    <x:row r="420">
      <x:c r="L420" s="100"/>
    </x:row>
    <x:row r="421">
      <x:c r="L421" s="100"/>
    </x:row>
    <x:row r="422">
      <x:c r="L422" s="100"/>
    </x:row>
    <x:row r="423">
      <x:c r="L423" s="100"/>
    </x:row>
    <x:row r="424">
      <x:c r="L424" s="100"/>
    </x:row>
    <x:row r="425">
      <x:c r="L425" s="100"/>
    </x:row>
    <x:row r="426">
      <x:c r="L426" s="100"/>
    </x:row>
    <x:row r="427">
      <x:c r="L427" s="100"/>
    </x:row>
    <x:row r="428">
      <x:c r="L428" s="100"/>
    </x:row>
    <x:row r="429">
      <x:c r="L429" s="100"/>
    </x:row>
    <x:row r="430">
      <x:c r="L430" s="100"/>
    </x:row>
    <x:row r="431">
      <x:c r="L431" s="100"/>
    </x:row>
    <x:row r="432">
      <x:c r="L432" s="100"/>
    </x:row>
    <x:row r="433">
      <x:c r="L433" s="100"/>
    </x:row>
    <x:row r="434">
      <x:c r="L434" s="100"/>
    </x:row>
    <x:row r="435">
      <x:c r="L435" s="100"/>
    </x:row>
    <x:row r="436">
      <x:c r="L436" s="100"/>
    </x:row>
    <x:row r="437">
      <x:c r="L437" s="100"/>
    </x:row>
    <x:row r="438">
      <x:c r="L438" s="100"/>
    </x:row>
    <x:row r="439">
      <x:c r="L439" s="100"/>
    </x:row>
    <x:row r="440">
      <x:c r="L440" s="100"/>
    </x:row>
    <x:row r="441">
      <x:c r="L441" s="100"/>
    </x:row>
    <x:row r="442">
      <x:c r="L442" s="100"/>
    </x:row>
    <x:row r="443">
      <x:c r="L443" s="100"/>
    </x:row>
    <x:row r="444">
      <x:c r="L444" s="100"/>
    </x:row>
    <x:row r="445">
      <x:c r="L445" s="100"/>
    </x:row>
    <x:row r="446">
      <x:c r="L446" s="100"/>
    </x:row>
    <x:row r="447">
      <x:c r="L447" s="100"/>
    </x:row>
    <x:row r="448">
      <x:c r="L448" s="100"/>
    </x:row>
    <x:row r="449">
      <x:c r="L449" s="100"/>
    </x:row>
    <x:row r="450">
      <x:c r="L450" s="100"/>
    </x:row>
    <x:row r="451">
      <x:c r="L451" s="100"/>
    </x:row>
    <x:row r="452">
      <x:c r="L452" s="100"/>
    </x:row>
    <x:row r="453">
      <x:c r="L453" s="100"/>
    </x:row>
    <x:row r="454">
      <x:c r="L454" s="100"/>
    </x:row>
    <x:row r="455">
      <x:c r="L455" s="100"/>
    </x:row>
    <x:row r="456">
      <x:c r="L456" s="100"/>
    </x:row>
    <x:row r="457">
      <x:c r="L457" s="100"/>
    </x:row>
    <x:row r="458">
      <x:c r="L458" s="100"/>
    </x:row>
    <x:row r="459">
      <x:c r="L459" s="100"/>
    </x:row>
    <x:row r="460">
      <x:c r="L460" s="100"/>
    </x:row>
    <x:row r="461">
      <x:c r="L461" s="100"/>
    </x:row>
    <x:row r="462">
      <x:c r="L462" s="100"/>
    </x:row>
    <x:row r="463">
      <x:c r="L463" s="100"/>
    </x:row>
    <x:row r="464">
      <x:c r="L464" s="100"/>
    </x:row>
    <x:row r="465">
      <x:c r="L465" s="100"/>
    </x:row>
    <x:row r="466">
      <x:c r="L466" s="100"/>
    </x:row>
    <x:row r="467">
      <x:c r="L467" s="100"/>
    </x:row>
    <x:row r="468">
      <x:c r="L468" s="100"/>
    </x:row>
    <x:row r="469">
      <x:c r="L469" s="100"/>
    </x:row>
    <x:row r="470">
      <x:c r="L470" s="100"/>
    </x:row>
    <x:row r="471">
      <x:c r="L471" s="100"/>
    </x:row>
    <x:row r="472">
      <x:c r="L472" s="100"/>
    </x:row>
    <x:row r="473">
      <x:c r="L473" s="100"/>
    </x:row>
    <x:row r="474">
      <x:c r="L474" s="100"/>
    </x:row>
    <x:row r="475">
      <x:c r="L475" s="100"/>
    </x:row>
    <x:row r="476">
      <x:c r="L476" s="100"/>
    </x:row>
    <x:row r="477">
      <x:c r="L477" s="100"/>
    </x:row>
    <x:row r="478">
      <x:c r="L478" s="100"/>
    </x:row>
    <x:row r="479">
      <x:c r="L479" s="100"/>
    </x:row>
    <x:row r="480">
      <x:c r="L480" s="100"/>
    </x:row>
    <x:row r="481">
      <x:c r="L481" s="100"/>
    </x:row>
    <x:row r="482">
      <x:c r="L482" s="100"/>
    </x:row>
    <x:row r="483">
      <x:c r="L483" s="100"/>
    </x:row>
    <x:row r="484">
      <x:c r="L484" s="100"/>
    </x:row>
    <x:row r="485">
      <x:c r="L485" s="100"/>
    </x:row>
    <x:row r="486">
      <x:c r="L486" s="100"/>
    </x:row>
    <x:row r="487">
      <x:c r="L487" s="100"/>
    </x:row>
    <x:row r="488">
      <x:c r="L488" s="100"/>
    </x:row>
    <x:row r="489">
      <x:c r="L489" s="100"/>
    </x:row>
    <x:row r="490">
      <x:c r="L490" s="100"/>
    </x:row>
    <x:row r="491">
      <x:c r="L491" s="100"/>
    </x:row>
    <x:row r="492">
      <x:c r="L492" s="100"/>
    </x:row>
    <x:row r="493">
      <x:c r="L493" s="100"/>
    </x:row>
    <x:row r="494">
      <x:c r="L494" s="100"/>
    </x:row>
    <x:row r="495">
      <x:c r="L495" s="100"/>
    </x:row>
    <x:row r="496">
      <x:c r="L496" s="100"/>
    </x:row>
    <x:row r="497">
      <x:c r="L497" s="100"/>
    </x:row>
    <x:row r="498">
      <x:c r="L498" s="100"/>
    </x:row>
    <x:row r="499">
      <x:c r="L499" s="100"/>
    </x:row>
    <x:row r="500">
      <x:c r="L500" s="100"/>
    </x:row>
  </x:sheetData>
  <x:conditionalFormatting sqref="I2:I500">
    <x:cfRule type="expression" dxfId="9" priority="1">
      <x:formula>I2="High"</x:formula>
    </x:cfRule>
    <x:cfRule type="expression" dxfId="10" priority="2">
      <x:formula>I2="Medium"</x:formula>
    </x:cfRule>
    <x:cfRule type="expression" dxfId="11" priority="3">
      <x:formula>I2="Low"</x:formula>
    </x:cfRule>
  </x:conditionalFormatting>
  <x:conditionalFormatting sqref="J2:J500">
    <x:cfRule type="expression" dxfId="12" priority="4">
      <x:formula>J2="Open"</x:formula>
    </x:cfRule>
    <x:cfRule type="expression" dxfId="13" priority="5">
      <x:formula>J2="Active"</x:formula>
    </x:cfRule>
    <x:cfRule type="expression" dxfId="14" priority="6">
      <x:formula>J2="Applied"</x:formula>
    </x:cfRule>
    <x:cfRule type="expression" dxfId="15" priority="7">
      <x:formula>J2="Closed"</x:formula>
    </x:cfRule>
  </x:conditionalFormatting>
  <x:conditionalFormatting sqref="K2:K500">
    <x:cfRule type="expression" dxfId="16" priority="8">
      <x:formula>K2=TRUE</x:formula>
    </x:cfRule>
    <x:cfRule type="expression" dxfId="17" priority="9">
      <x:formula>K2=FALSE</x:formula>
    </x:cfRule>
  </x:conditionalFormatting>
  <x:dataValidations count="3">
    <x:dataValidation type="list" sqref="I2:I500">
      <x:formula1>"High,Medium,Low"</x:formula1>
    </x:dataValidation>
    <x:dataValidation type="list" sqref="J2:J500">
      <x:formula1>"Open,Active,Applied,Deferred,Closed"</x:formula1>
    </x:dataValidation>
    <x:dataValidation type="list" sqref="K2:K5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9b1119b7ba44b58"/>
  </x:tableParts>
</x:worksheet>
</file>

<file path=xl/worksheets/sheet3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</x:cols>
  <x:sheetData>
    <x:row r="1" ht="17.08984375" hidden="0" customHeight="1">
      <x:c r="A1" s="114" t="str">
        <x:v>MIOS + BAOS for CIOS</x:v>
      </x:c>
    </x:row>
    <x:row r="2" ht="136.71875" hidden="0" customHeight="1">
      <x:c r="A2" s="118" t="str">
        <x:v>Workbook structure for brand-specific belief-bridge, evidence interpretation, behavioral risk, and CIOS-ready signal export.</x:v>
      </x:c>
    </x:row>
    <x:row r="4" ht="17.08984375" hidden="0" customHeight="1">
      <x:c r="A4" s="127" t="str">
        <x:v>Section</x:v>
      </x:c>
      <x:c r="B4" s="128" t="str">
        <x:v>How to use</x:v>
      </x:c>
    </x:row>
    <x:row r="5" ht="17.08984375" hidden="0" customHeight="1">
      <x:c r="A5" s="143" t="str">
        <x:v>1. Program_Header</x:v>
      </x:c>
      <x:c r="B5" s="144" t="str">
        <x:v>Create one row per active brand / indication / audience / strategic question.</x:v>
      </x:c>
    </x:row>
    <x:row r="6" ht="34.1796875" hidden="0" customHeight="1">
      <x:c r="A6" s="145" t="str">
        <x:v>2. Belief_Bridge</x:v>
      </x:c>
      <x:c r="B6" s="146" t="str">
        <x:v>Start from current belief and desired belief. Break the gap into ranked sub-belief bridges.</x:v>
      </x:c>
    </x:row>
    <x:row r="7" ht="51.26953125" hidden="0" customHeight="1">
      <x:c r="A7" s="145" t="str">
        <x:v>3. Statement_Blueprint</x:v>
      </x:c>
      <x:c r="B7" s="146" t="str">
        <x:v>Generate atomic medical statements from each bridge. Every statement must point back to BridgeID.</x:v>
      </x:c>
    </x:row>
    <x:row r="8" ht="34.1796875" hidden="0" customHeight="1">
      <x:c r="A8" s="145" t="str">
        <x:v>4. Evidence_Register</x:v>
      </x:c>
      <x:c r="B8" s="146" t="str">
        <x:v>Capture verbatims or evidence rows supporting or challenging each statement.</x:v>
      </x:c>
    </x:row>
    <x:row r="9" ht="51.26953125" hidden="0" customHeight="1">
      <x:c r="A9" s="145" t="str">
        <x:v>5. Evidence_Interpretation</x:v>
      </x:c>
      <x:c r="B9" s="146" t="str">
        <x:v>Score each endpoint/claim for clinical strength, vulnerability, behavioral implication, and adoption impact.</x:v>
      </x:c>
    </x:row>
    <x:row r="10" ht="34.1796875" hidden="0" customHeight="1">
      <x:c r="A10" s="145" t="str">
        <x:v>6. BAOS_Profile</x:v>
      </x:c>
      <x:c r="B10" s="146" t="str">
        <x:v>Translate weak points and objections into stakeholder-level barriers and mitigation guidance.</x:v>
      </x:c>
    </x:row>
    <x:row r="11" ht="34.1796875" hidden="0" customHeight="1">
      <x:c r="A11" s="145" t="str">
        <x:v>7. CIOS_Signal_Export</x:v>
      </x:c>
      <x:c r="B11" s="146" t="str">
        <x:v>Export only the highest-priority, brand-relevant signals that matter for the current CIOS question.</x:v>
      </x:c>
    </x:row>
    <x:row r="12" ht="17.08984375" hidden="0" customHeight="1">
      <x:c r="A12" s="145" t="str">
        <x:v>8. Traceability_Map</x:v>
      </x:c>
      <x:c r="B12" s="146" t="str">
        <x:v>Maintain audit chain from belief bridge to statement to evidence to BAOS to final signal.</x:v>
      </x:c>
    </x:row>
    <x:row r="13" ht="34.1796875" hidden="0" customHeight="1">
      <x:c r="A13" s="145" t="str">
        <x:v>Key rule</x:v>
      </x:c>
      <x:c r="B13" s="146" t="str">
        <x:v>CIOS should read only CIOS_Signal_Export. It should not consume raw evidence sheets directly.</x:v>
      </x:c>
    </x:row>
    <x:row r="14" ht="34.1796875" hidden="0" customHeight="1">
      <x:c r="A14" s="145" t="str">
        <x:v>Key rule</x:v>
      </x:c>
      <x:c r="B14" s="146" t="str">
        <x:v>Weak or contradictory endpoints must not disappear. They become vulnerability flags or BAOS risks.</x:v>
      </x:c>
    </x:row>
    <x:row r="15" ht="34.1796875" hidden="0" customHeight="1">
      <x:c r="A15" s="147" t="str">
        <x:v>Key rule</x:v>
      </x:c>
      <x:c r="B15" s="148" t="str">
        <x:v>Every exported signal must be traceable back to a BridgeID and a supporting source reference.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34" hidden="0" customWidth="1"/>
    <x:col min="4" max="4" width="34" hidden="0" customWidth="1"/>
    <x:col min="5" max="5" width="52" hidden="0" customWidth="1"/>
    <x:col min="6" max="6" width="12" hidden="0" customWidth="1"/>
    <x:col min="7" max="7" width="14" hidden="0" customWidth="1"/>
    <x:col min="8" max="8" width="16" hidden="0" customWidth="1"/>
    <x:col min="9" max="9" width="18" hidden="0" customWidth="1"/>
    <x:col min="10" max="10" width="18" hidden="0" customWidth="1"/>
    <x:col min="11" max="11" width="14" hidden="0" customWidth="1"/>
    <x:col min="12" max="12" width="12" hidden="0" customWidth="1"/>
  </x:cols>
  <x:sheetData>
    <x:row r="1" ht="17.08984375" hidden="0" customHeight="1">
      <x:c r="A1" s="114" t="str">
        <x:v>Belief Bridge</x:v>
      </x:c>
    </x:row>
    <x:row r="2" ht="153.80859375" hidden="0" customHeight="1">
      <x:c r="A2" s="118" t="str">
        <x:v>Start with current belief and desired belief. Rank the sub-belief bridges that must shift to answer the CIOS question.</x:v>
      </x:c>
    </x:row>
    <x:row r="4" ht="34.1796875" hidden="0" customHeight="1">
      <x:c r="A4" s="127" t="str">
        <x:v>ProgramID</x:v>
      </x:c>
      <x:c r="B4" s="159" t="str">
        <x:v>BridgeID</x:v>
      </x:c>
      <x:c r="C4" s="159" t="str">
        <x:v>CurrentBelief</x:v>
      </x:c>
      <x:c r="D4" s="159" t="str">
        <x:v>DesiredBelief</x:v>
      </x:c>
      <x:c r="E4" s="159" t="str">
        <x:v>SubBeliefBridge</x:v>
      </x:c>
      <x:c r="F4" s="159" t="str">
        <x:v>PriorityRank</x:v>
      </x:c>
      <x:c r="G4" s="159" t="str">
        <x:v>ImportanceScore</x:v>
      </x:c>
      <x:c r="H4" s="159" t="str">
        <x:v>EvidenceNeed</x:v>
      </x:c>
      <x:c r="I4" s="159" t="str">
        <x:v>BehavioralRelevance</x:v>
      </x:c>
      <x:c r="J4" s="159" t="str">
        <x:v>ForecastRelevance</x:v>
      </x:c>
      <x:c r="K4" s="159" t="str">
        <x:v>IncludeInForecast</x:v>
      </x:c>
      <x:c r="L4" s="128" t="str">
        <x:v>Status</x:v>
      </x:c>
    </x:row>
    <x:row r="5" ht="68.359375" hidden="0" customHeight="1">
      <x:c r="A5" s="143" t="str">
        <x:v>HIV_LAI_LAUNCH</x:v>
      </x:c>
      <x:c r="B5" s="164" t="str">
        <x:v>BR01</x:v>
      </x:c>
      <x:c r="C5" s="164" t="str">
        <x:v>Oral regimens are more controllable and safer to rely on.</x:v>
      </x:c>
      <x:c r="D5" s="164" t="str">
        <x:v>LAI therapy can be a clinically meaningful and practical option for appropriate patients.</x:v>
      </x:c>
      <x:c r="E5" s="164" t="str">
        <x:v>Evidence must show that adherence vulnerability creates clinical risk under daily oral therapy.</x:v>
      </x:c>
      <x:c r="F5" s="166" t="str">
        <x:v>1</x:v>
      </x:c>
      <x:c r="G5" s="166" t="str">
        <x:v>5</x:v>
      </x:c>
      <x:c r="H5" s="164" t="str">
        <x:v>High</x:v>
      </x:c>
      <x:c r="I5" s="164" t="str">
        <x:v>High</x:v>
      </x:c>
      <x:c r="J5" s="164" t="str">
        <x:v>High</x:v>
      </x:c>
      <x:c r="K5" s="164" t="str">
        <x:v>Yes</x:v>
      </x:c>
      <x:c r="L5" s="144" t="str">
        <x:v>Active</x:v>
      </x:c>
    </x:row>
    <x:row r="6" ht="68.359375" hidden="0" customHeight="1">
      <x:c r="A6" s="145" t="str">
        <x:v>HIV_LAI_LAUNCH</x:v>
      </x:c>
      <x:c r="B6" s="173" t="str">
        <x:v>BR02</x:v>
      </x:c>
      <x:c r="C6" s="173" t="str">
        <x:v>Oral regimens are more controllable and safer to rely on.</x:v>
      </x:c>
      <x:c r="D6" s="173" t="str">
        <x:v>LAI therapy can be a clinically meaningful and practical option for appropriate patients.</x:v>
      </x:c>
      <x:c r="E6" s="173" t="str">
        <x:v>Evidence must show that long-acting therapy can deliver durable suppression in appropriate patients.</x:v>
      </x:c>
      <x:c r="F6" s="174" t="str">
        <x:v>2</x:v>
      </x:c>
      <x:c r="G6" s="174" t="str">
        <x:v>5</x:v>
      </x:c>
      <x:c r="H6" s="173" t="str">
        <x:v>High</x:v>
      </x:c>
      <x:c r="I6" s="173" t="str">
        <x:v>Moderate</x:v>
      </x:c>
      <x:c r="J6" s="173" t="str">
        <x:v>High</x:v>
      </x:c>
      <x:c r="K6" s="173" t="str">
        <x:v>Yes</x:v>
      </x:c>
      <x:c r="L6" s="146" t="str">
        <x:v>Active</x:v>
      </x:c>
    </x:row>
    <x:row r="7" ht="68.359375" hidden="0" customHeight="1">
      <x:c r="A7" s="145" t="str">
        <x:v>HIV_LAI_LAUNCH</x:v>
      </x:c>
      <x:c r="B7" s="173" t="str">
        <x:v>BR03</x:v>
      </x:c>
      <x:c r="C7" s="173" t="str">
        <x:v>Oral regimens are more controllable and safer to rely on.</x:v>
      </x:c>
      <x:c r="D7" s="173" t="str">
        <x:v>LAI therapy can be a clinically meaningful and practical option for appropriate patients.</x:v>
      </x:c>
      <x:c r="E7" s="173" t="str">
        <x:v>Behavioral objections about flexibility and missed injections must be pre-empted.</x:v>
      </x:c>
      <x:c r="F7" s="174" t="str">
        <x:v>3</x:v>
      </x:c>
      <x:c r="G7" s="174" t="str">
        <x:v>4</x:v>
      </x:c>
      <x:c r="H7" s="173" t="str">
        <x:v>Moderate</x:v>
      </x:c>
      <x:c r="I7" s="173" t="str">
        <x:v>High</x:v>
      </x:c>
      <x:c r="J7" s="173" t="str">
        <x:v>High</x:v>
      </x:c>
      <x:c r="K7" s="173" t="str">
        <x:v>Yes</x:v>
      </x:c>
      <x:c r="L7" s="146" t="str">
        <x:v>Active</x:v>
      </x:c>
    </x:row>
    <x:row r="8" ht="17.08984375" hidden="0" customHeight="1">
      <x:c r="A8" s="147" t="str"/>
      <x:c r="B8" s="165" t="str"/>
      <x:c r="C8" s="165" t="str"/>
      <x:c r="D8" s="165" t="str"/>
      <x:c r="E8" s="165" t="str"/>
      <x:c r="F8" s="167" t="str"/>
      <x:c r="G8" s="167" t="str"/>
      <x:c r="H8" s="165" t="str"/>
      <x:c r="I8" s="165" t="str"/>
      <x:c r="J8" s="165" t="str"/>
      <x:c r="K8" s="165" t="str"/>
      <x:c r="L8" s="148" t="str"/>
    </x:row>
    <x:row r="9" ht="17.08984375" hidden="0" customHeight="1">
      <x:c r="F9" s="168"/>
      <x:c r="G9" s="168"/>
    </x:row>
    <x:row r="10" ht="17.08984375" hidden="0" customHeight="1">
      <x:c r="F10" s="168"/>
      <x:c r="G10" s="168"/>
    </x:row>
    <x:row r="11" ht="17.08984375" hidden="0" customHeight="1">
      <x:c r="F11" s="168"/>
      <x:c r="G11" s="168"/>
    </x:row>
    <x:row r="12" ht="17.08984375" hidden="0" customHeight="1">
      <x:c r="F12" s="168"/>
      <x:c r="G12" s="168"/>
    </x:row>
    <x:row r="13" ht="17.08984375" hidden="0" customHeight="1">
      <x:c r="F13" s="168"/>
      <x:c r="G13" s="168"/>
    </x:row>
    <x:row r="14" ht="17.08984375" hidden="0" customHeight="1">
      <x:c r="F14" s="168"/>
      <x:c r="G14" s="168"/>
    </x:row>
    <x:row r="15" ht="17.08984375" hidden="0" customHeight="1">
      <x:c r="F15" s="168"/>
      <x:c r="G15" s="168"/>
    </x:row>
    <x:row r="16" ht="17.08984375" hidden="0" customHeight="1">
      <x:c r="F16" s="168"/>
      <x:c r="G16" s="168"/>
    </x:row>
    <x:row r="17" ht="17.08984375" hidden="0" customHeight="1">
      <x:c r="F17" s="168"/>
      <x:c r="G17" s="168"/>
    </x:row>
    <x:row r="18" ht="17.08984375" hidden="0" customHeight="1">
      <x:c r="F18" s="168"/>
      <x:c r="G18" s="168"/>
    </x:row>
    <x:row r="19" ht="17.08984375" hidden="0" customHeight="1">
      <x:c r="F19" s="168"/>
      <x:c r="G19" s="168"/>
    </x:row>
    <x:row r="20" ht="17.08984375" hidden="0" customHeight="1">
      <x:c r="F20" s="168"/>
      <x:c r="G20" s="168"/>
    </x:row>
    <x:row r="21" ht="17.08984375" hidden="0" customHeight="1">
      <x:c r="F21" s="168"/>
      <x:c r="G21" s="168"/>
    </x:row>
    <x:row r="22" ht="17.08984375" hidden="0" customHeight="1">
      <x:c r="F22" s="168"/>
      <x:c r="G22" s="168"/>
    </x:row>
    <x:row r="23" ht="17.08984375" hidden="0" customHeight="1">
      <x:c r="F23" s="168"/>
      <x:c r="G23" s="168"/>
    </x:row>
    <x:row r="24" ht="17.08984375" hidden="0" customHeight="1">
      <x:c r="F24" s="168"/>
      <x:c r="G24" s="168"/>
    </x:row>
    <x:row r="25" ht="17.08984375" hidden="0" customHeight="1">
      <x:c r="F25" s="168"/>
      <x:c r="G25" s="168"/>
    </x:row>
    <x:row r="26" ht="17.08984375" hidden="0" customHeight="1">
      <x:c r="F26" s="168"/>
      <x:c r="G26" s="168"/>
    </x:row>
    <x:row r="27" ht="17.08984375" hidden="0" customHeight="1">
      <x:c r="F27" s="168"/>
      <x:c r="G27" s="168"/>
    </x:row>
    <x:row r="28" ht="17.08984375" hidden="0" customHeight="1">
      <x:c r="F28" s="168"/>
      <x:c r="G28" s="168"/>
    </x:row>
    <x:row r="29" ht="17.08984375" hidden="0" customHeight="1">
      <x:c r="F29" s="168"/>
      <x:c r="G29" s="168"/>
    </x:row>
    <x:row r="30" ht="17.08984375" hidden="0" customHeight="1">
      <x:c r="F30" s="168"/>
      <x:c r="G30" s="168"/>
    </x:row>
    <x:row r="31" ht="17.08984375" hidden="0" customHeight="1">
      <x:c r="F31" s="168"/>
      <x:c r="G31" s="168"/>
    </x:row>
    <x:row r="32" ht="17.08984375" hidden="0" customHeight="1">
      <x:c r="F32" s="168"/>
      <x:c r="G32" s="168"/>
    </x:row>
    <x:row r="33" ht="17.08984375" hidden="0" customHeight="1">
      <x:c r="F33" s="168"/>
      <x:c r="G33" s="168"/>
    </x:row>
    <x:row r="34" ht="17.08984375" hidden="0" customHeight="1">
      <x:c r="F34" s="168"/>
      <x:c r="G34" s="168"/>
    </x:row>
    <x:row r="35" ht="17.08984375" hidden="0" customHeight="1">
      <x:c r="F35" s="168"/>
      <x:c r="G35" s="168"/>
    </x:row>
    <x:row r="36" ht="17.08984375" hidden="0" customHeight="1">
      <x:c r="F36" s="168"/>
      <x:c r="G36" s="168"/>
    </x:row>
    <x:row r="37" ht="17.08984375" hidden="0" customHeight="1">
      <x:c r="F37" s="168"/>
      <x:c r="G37" s="168"/>
    </x:row>
    <x:row r="38" ht="17.08984375" hidden="0" customHeight="1">
      <x:c r="F38" s="168"/>
      <x:c r="G38" s="168"/>
    </x:row>
    <x:row r="39" ht="17.08984375" hidden="0" customHeight="1">
      <x:c r="F39" s="168"/>
      <x:c r="G39" s="168"/>
    </x:row>
    <x:row r="40" ht="17.08984375" hidden="0" customHeight="1">
      <x:c r="F40" s="168"/>
      <x:c r="G40" s="168"/>
    </x:row>
    <x:row r="41">
      <x:c r="F41" s="168"/>
      <x:c r="G41" s="168"/>
    </x:row>
    <x:row r="42">
      <x:c r="F42" s="168"/>
      <x:c r="G42" s="168"/>
    </x:row>
    <x:row r="43">
      <x:c r="F43" s="168"/>
      <x:c r="G43" s="168"/>
    </x:row>
    <x:row r="44">
      <x:c r="F44" s="168"/>
      <x:c r="G44" s="168"/>
    </x:row>
    <x:row r="45">
      <x:c r="F45" s="168"/>
      <x:c r="G45" s="168"/>
    </x:row>
    <x:row r="46">
      <x:c r="F46" s="168"/>
      <x:c r="G46" s="168"/>
    </x:row>
    <x:row r="47">
      <x:c r="F47" s="168"/>
      <x:c r="G47" s="168"/>
    </x:row>
    <x:row r="48">
      <x:c r="F48" s="168"/>
      <x:c r="G48" s="168"/>
    </x:row>
    <x:row r="49">
      <x:c r="F49" s="168"/>
      <x:c r="G49" s="168"/>
    </x:row>
    <x:row r="50">
      <x:c r="F50" s="168"/>
      <x:c r="G50" s="168"/>
    </x:row>
    <x:row r="51">
      <x:c r="F51" s="168"/>
      <x:c r="G51" s="168"/>
    </x:row>
    <x:row r="52">
      <x:c r="F52" s="168"/>
      <x:c r="G52" s="168"/>
    </x:row>
    <x:row r="53">
      <x:c r="F53" s="168"/>
      <x:c r="G53" s="168"/>
    </x:row>
    <x:row r="54">
      <x:c r="F54" s="168"/>
      <x:c r="G54" s="168"/>
    </x:row>
    <x:row r="55">
      <x:c r="F55" s="168"/>
      <x:c r="G55" s="168"/>
    </x:row>
    <x:row r="56">
      <x:c r="F56" s="168"/>
      <x:c r="G56" s="168"/>
    </x:row>
    <x:row r="57">
      <x:c r="F57" s="168"/>
      <x:c r="G57" s="168"/>
    </x:row>
    <x:row r="58">
      <x:c r="F58" s="168"/>
      <x:c r="G58" s="168"/>
    </x:row>
    <x:row r="59">
      <x:c r="F59" s="168"/>
      <x:c r="G59" s="168"/>
    </x:row>
    <x:row r="60">
      <x:c r="F60" s="168"/>
      <x:c r="G60" s="168"/>
    </x:row>
    <x:row r="61">
      <x:c r="F61" s="168"/>
      <x:c r="G61" s="168"/>
    </x:row>
    <x:row r="62">
      <x:c r="F62" s="168"/>
      <x:c r="G62" s="168"/>
    </x:row>
    <x:row r="63">
      <x:c r="F63" s="168"/>
      <x:c r="G63" s="168"/>
    </x:row>
    <x:row r="64">
      <x:c r="F64" s="168"/>
      <x:c r="G64" s="168"/>
    </x:row>
    <x:row r="65">
      <x:c r="F65" s="168"/>
      <x:c r="G65" s="168"/>
    </x:row>
    <x:row r="66">
      <x:c r="F66" s="168"/>
      <x:c r="G66" s="168"/>
    </x:row>
    <x:row r="67">
      <x:c r="F67" s="168"/>
      <x:c r="G67" s="168"/>
    </x:row>
    <x:row r="68">
      <x:c r="F68" s="168"/>
      <x:c r="G68" s="168"/>
    </x:row>
    <x:row r="69">
      <x:c r="F69" s="168"/>
      <x:c r="G69" s="168"/>
    </x:row>
    <x:row r="70">
      <x:c r="F70" s="168"/>
      <x:c r="G70" s="168"/>
    </x:row>
    <x:row r="71">
      <x:c r="F71" s="168"/>
      <x:c r="G71" s="168"/>
    </x:row>
    <x:row r="72">
      <x:c r="F72" s="168"/>
      <x:c r="G72" s="168"/>
    </x:row>
    <x:row r="73">
      <x:c r="F73" s="168"/>
      <x:c r="G73" s="168"/>
    </x:row>
    <x:row r="74">
      <x:c r="F74" s="168"/>
      <x:c r="G74" s="168"/>
    </x:row>
    <x:row r="75">
      <x:c r="F75" s="168"/>
      <x:c r="G75" s="168"/>
    </x:row>
    <x:row r="76">
      <x:c r="F76" s="168"/>
      <x:c r="G76" s="168"/>
    </x:row>
    <x:row r="77">
      <x:c r="F77" s="168"/>
      <x:c r="G77" s="168"/>
    </x:row>
    <x:row r="78">
      <x:c r="F78" s="168"/>
      <x:c r="G78" s="168"/>
    </x:row>
    <x:row r="79">
      <x:c r="F79" s="168"/>
      <x:c r="G79" s="168"/>
    </x:row>
    <x:row r="80">
      <x:c r="F80" s="168"/>
      <x:c r="G80" s="168"/>
    </x:row>
    <x:row r="81">
      <x:c r="F81" s="168"/>
      <x:c r="G81" s="168"/>
    </x:row>
    <x:row r="82">
      <x:c r="F82" s="168"/>
      <x:c r="G82" s="168"/>
    </x:row>
    <x:row r="83">
      <x:c r="F83" s="168"/>
      <x:c r="G83" s="168"/>
    </x:row>
    <x:row r="84">
      <x:c r="F84" s="168"/>
      <x:c r="G84" s="168"/>
    </x:row>
    <x:row r="85">
      <x:c r="F85" s="168"/>
      <x:c r="G85" s="168"/>
    </x:row>
    <x:row r="86">
      <x:c r="F86" s="168"/>
      <x:c r="G86" s="168"/>
    </x:row>
    <x:row r="87">
      <x:c r="F87" s="168"/>
      <x:c r="G87" s="168"/>
    </x:row>
    <x:row r="88">
      <x:c r="F88" s="168"/>
      <x:c r="G88" s="168"/>
    </x:row>
    <x:row r="89">
      <x:c r="F89" s="168"/>
      <x:c r="G89" s="168"/>
    </x:row>
    <x:row r="90">
      <x:c r="F90" s="168"/>
      <x:c r="G90" s="168"/>
    </x:row>
    <x:row r="91">
      <x:c r="F91" s="168"/>
      <x:c r="G91" s="168"/>
    </x:row>
    <x:row r="92">
      <x:c r="F92" s="168"/>
      <x:c r="G92" s="168"/>
    </x:row>
    <x:row r="93">
      <x:c r="F93" s="168"/>
      <x:c r="G93" s="168"/>
    </x:row>
    <x:row r="94">
      <x:c r="F94" s="168"/>
      <x:c r="G94" s="168"/>
    </x:row>
    <x:row r="95">
      <x:c r="F95" s="168"/>
      <x:c r="G95" s="168"/>
    </x:row>
    <x:row r="96">
      <x:c r="F96" s="168"/>
      <x:c r="G96" s="168"/>
    </x:row>
    <x:row r="97">
      <x:c r="F97" s="168"/>
      <x:c r="G97" s="168"/>
    </x:row>
    <x:row r="98">
      <x:c r="F98" s="168"/>
      <x:c r="G98" s="168"/>
    </x:row>
    <x:row r="99">
      <x:c r="F99" s="168"/>
      <x:c r="G99" s="168"/>
    </x:row>
    <x:row r="100">
      <x:c r="F100" s="168"/>
      <x:c r="G100" s="168"/>
    </x:row>
    <x:row r="101">
      <x:c r="F101" s="168"/>
      <x:c r="G101" s="168"/>
    </x:row>
    <x:row r="102">
      <x:c r="F102" s="168"/>
      <x:c r="G102" s="168"/>
    </x:row>
    <x:row r="103">
      <x:c r="F103" s="168"/>
      <x:c r="G103" s="168"/>
    </x:row>
    <x:row r="104">
      <x:c r="F104" s="168"/>
      <x:c r="G104" s="168"/>
    </x:row>
    <x:row r="105">
      <x:c r="F105" s="168"/>
      <x:c r="G105" s="168"/>
    </x:row>
    <x:row r="106">
      <x:c r="F106" s="168"/>
      <x:c r="G106" s="168"/>
    </x:row>
    <x:row r="107">
      <x:c r="F107" s="168"/>
      <x:c r="G107" s="168"/>
    </x:row>
    <x:row r="108">
      <x:c r="F108" s="168"/>
      <x:c r="G108" s="168"/>
    </x:row>
    <x:row r="109">
      <x:c r="F109" s="168"/>
      <x:c r="G109" s="168"/>
    </x:row>
    <x:row r="110">
      <x:c r="F110" s="168"/>
      <x:c r="G110" s="168"/>
    </x:row>
    <x:row r="111">
      <x:c r="F111" s="168"/>
      <x:c r="G111" s="168"/>
    </x:row>
    <x:row r="112">
      <x:c r="F112" s="168"/>
      <x:c r="G112" s="168"/>
    </x:row>
    <x:row r="113">
      <x:c r="F113" s="168"/>
      <x:c r="G113" s="168"/>
    </x:row>
    <x:row r="114">
      <x:c r="F114" s="168"/>
      <x:c r="G114" s="168"/>
    </x:row>
    <x:row r="115">
      <x:c r="F115" s="168"/>
      <x:c r="G115" s="168"/>
    </x:row>
    <x:row r="116">
      <x:c r="F116" s="168"/>
      <x:c r="G116" s="168"/>
    </x:row>
    <x:row r="117">
      <x:c r="F117" s="168"/>
      <x:c r="G117" s="168"/>
    </x:row>
    <x:row r="118">
      <x:c r="F118" s="168"/>
      <x:c r="G118" s="168"/>
    </x:row>
    <x:row r="119">
      <x:c r="F119" s="168"/>
      <x:c r="G119" s="168"/>
    </x:row>
    <x:row r="120">
      <x:c r="F120" s="168"/>
      <x:c r="G120" s="168"/>
    </x:row>
    <x:row r="121">
      <x:c r="F121" s="168"/>
      <x:c r="G121" s="168"/>
    </x:row>
    <x:row r="122">
      <x:c r="F122" s="168"/>
      <x:c r="G122" s="168"/>
    </x:row>
    <x:row r="123">
      <x:c r="F123" s="168"/>
      <x:c r="G123" s="168"/>
    </x:row>
    <x:row r="124">
      <x:c r="F124" s="168"/>
      <x:c r="G124" s="168"/>
    </x:row>
    <x:row r="125">
      <x:c r="F125" s="168"/>
      <x:c r="G125" s="168"/>
    </x:row>
    <x:row r="126">
      <x:c r="F126" s="168"/>
      <x:c r="G126" s="168"/>
    </x:row>
    <x:row r="127">
      <x:c r="F127" s="168"/>
      <x:c r="G127" s="168"/>
    </x:row>
    <x:row r="128">
      <x:c r="F128" s="168"/>
      <x:c r="G128" s="168"/>
    </x:row>
    <x:row r="129">
      <x:c r="F129" s="168"/>
      <x:c r="G129" s="168"/>
    </x:row>
    <x:row r="130">
      <x:c r="F130" s="168"/>
      <x:c r="G130" s="168"/>
    </x:row>
    <x:row r="131">
      <x:c r="F131" s="168"/>
      <x:c r="G131" s="168"/>
    </x:row>
    <x:row r="132">
      <x:c r="F132" s="168"/>
      <x:c r="G132" s="168"/>
    </x:row>
    <x:row r="133">
      <x:c r="F133" s="168"/>
      <x:c r="G133" s="168"/>
    </x:row>
    <x:row r="134">
      <x:c r="F134" s="168"/>
      <x:c r="G134" s="168"/>
    </x:row>
    <x:row r="135">
      <x:c r="F135" s="168"/>
      <x:c r="G135" s="168"/>
    </x:row>
    <x:row r="136">
      <x:c r="F136" s="168"/>
      <x:c r="G136" s="168"/>
    </x:row>
    <x:row r="137">
      <x:c r="F137" s="168"/>
      <x:c r="G137" s="168"/>
    </x:row>
    <x:row r="138">
      <x:c r="F138" s="168"/>
      <x:c r="G138" s="168"/>
    </x:row>
    <x:row r="139">
      <x:c r="F139" s="168"/>
      <x:c r="G139" s="168"/>
    </x:row>
    <x:row r="140">
      <x:c r="F140" s="168"/>
      <x:c r="G140" s="168"/>
    </x:row>
    <x:row r="141">
      <x:c r="F141" s="168"/>
      <x:c r="G141" s="168"/>
    </x:row>
    <x:row r="142">
      <x:c r="F142" s="168"/>
      <x:c r="G142" s="168"/>
    </x:row>
    <x:row r="143">
      <x:c r="F143" s="168"/>
      <x:c r="G143" s="168"/>
    </x:row>
    <x:row r="144">
      <x:c r="F144" s="168"/>
      <x:c r="G144" s="168"/>
    </x:row>
    <x:row r="145">
      <x:c r="F145" s="168"/>
      <x:c r="G145" s="168"/>
    </x:row>
    <x:row r="146">
      <x:c r="F146" s="168"/>
      <x:c r="G146" s="168"/>
    </x:row>
    <x:row r="147">
      <x:c r="F147" s="168"/>
      <x:c r="G147" s="168"/>
    </x:row>
    <x:row r="148">
      <x:c r="F148" s="168"/>
      <x:c r="G148" s="168"/>
    </x:row>
    <x:row r="149">
      <x:c r="F149" s="168"/>
      <x:c r="G149" s="168"/>
    </x:row>
    <x:row r="150">
      <x:c r="F150" s="168"/>
      <x:c r="G150" s="168"/>
    </x:row>
    <x:row r="151">
      <x:c r="F151" s="168"/>
      <x:c r="G151" s="168"/>
    </x:row>
    <x:row r="152">
      <x:c r="F152" s="168"/>
      <x:c r="G152" s="168"/>
    </x:row>
    <x:row r="153">
      <x:c r="F153" s="168"/>
      <x:c r="G153" s="168"/>
    </x:row>
    <x:row r="154">
      <x:c r="F154" s="168"/>
      <x:c r="G154" s="168"/>
    </x:row>
    <x:row r="155">
      <x:c r="F155" s="168"/>
      <x:c r="G155" s="168"/>
    </x:row>
    <x:row r="156">
      <x:c r="F156" s="168"/>
      <x:c r="G156" s="168"/>
    </x:row>
    <x:row r="157">
      <x:c r="F157" s="168"/>
      <x:c r="G157" s="168"/>
    </x:row>
    <x:row r="158">
      <x:c r="F158" s="168"/>
      <x:c r="G158" s="168"/>
    </x:row>
    <x:row r="159">
      <x:c r="F159" s="168"/>
      <x:c r="G159" s="168"/>
    </x:row>
    <x:row r="160">
      <x:c r="F160" s="168"/>
      <x:c r="G160" s="168"/>
    </x:row>
    <x:row r="161">
      <x:c r="F161" s="168"/>
      <x:c r="G161" s="168"/>
    </x:row>
    <x:row r="162">
      <x:c r="F162" s="168"/>
      <x:c r="G162" s="168"/>
    </x:row>
    <x:row r="163">
      <x:c r="F163" s="168"/>
      <x:c r="G163" s="168"/>
    </x:row>
    <x:row r="164">
      <x:c r="F164" s="168"/>
      <x:c r="G164" s="168"/>
    </x:row>
    <x:row r="165">
      <x:c r="F165" s="168"/>
      <x:c r="G165" s="168"/>
    </x:row>
    <x:row r="166">
      <x:c r="F166" s="168"/>
      <x:c r="G166" s="168"/>
    </x:row>
    <x:row r="167">
      <x:c r="F167" s="168"/>
      <x:c r="G167" s="168"/>
    </x:row>
    <x:row r="168">
      <x:c r="F168" s="168"/>
      <x:c r="G168" s="168"/>
    </x:row>
    <x:row r="169">
      <x:c r="F169" s="168"/>
      <x:c r="G169" s="168"/>
    </x:row>
    <x:row r="170">
      <x:c r="F170" s="168"/>
      <x:c r="G170" s="168"/>
    </x:row>
    <x:row r="171">
      <x:c r="F171" s="168"/>
      <x:c r="G171" s="168"/>
    </x:row>
    <x:row r="172">
      <x:c r="F172" s="168"/>
      <x:c r="G172" s="168"/>
    </x:row>
    <x:row r="173">
      <x:c r="F173" s="168"/>
      <x:c r="G173" s="168"/>
    </x:row>
    <x:row r="174">
      <x:c r="F174" s="168"/>
      <x:c r="G174" s="168"/>
    </x:row>
    <x:row r="175">
      <x:c r="F175" s="168"/>
      <x:c r="G175" s="168"/>
    </x:row>
    <x:row r="176">
      <x:c r="F176" s="168"/>
      <x:c r="G176" s="168"/>
    </x:row>
    <x:row r="177">
      <x:c r="F177" s="168"/>
      <x:c r="G177" s="168"/>
    </x:row>
    <x:row r="178">
      <x:c r="F178" s="168"/>
      <x:c r="G178" s="168"/>
    </x:row>
    <x:row r="179">
      <x:c r="F179" s="168"/>
      <x:c r="G179" s="168"/>
    </x:row>
    <x:row r="180">
      <x:c r="F180" s="168"/>
      <x:c r="G180" s="168"/>
    </x:row>
    <x:row r="181">
      <x:c r="F181" s="168"/>
      <x:c r="G181" s="168"/>
    </x:row>
    <x:row r="182">
      <x:c r="F182" s="168"/>
      <x:c r="G182" s="168"/>
    </x:row>
    <x:row r="183">
      <x:c r="F183" s="168"/>
      <x:c r="G183" s="168"/>
    </x:row>
    <x:row r="184">
      <x:c r="F184" s="168"/>
      <x:c r="G184" s="168"/>
    </x:row>
    <x:row r="185">
      <x:c r="F185" s="168"/>
      <x:c r="G185" s="168"/>
    </x:row>
    <x:row r="186">
      <x:c r="F186" s="168"/>
      <x:c r="G186" s="168"/>
    </x:row>
    <x:row r="187">
      <x:c r="F187" s="168"/>
      <x:c r="G187" s="168"/>
    </x:row>
    <x:row r="188">
      <x:c r="F188" s="168"/>
      <x:c r="G188" s="168"/>
    </x:row>
    <x:row r="189">
      <x:c r="F189" s="168"/>
      <x:c r="G189" s="168"/>
    </x:row>
    <x:row r="190">
      <x:c r="F190" s="168"/>
      <x:c r="G190" s="168"/>
    </x:row>
    <x:row r="191">
      <x:c r="F191" s="168"/>
      <x:c r="G191" s="168"/>
    </x:row>
    <x:row r="192">
      <x:c r="F192" s="168"/>
      <x:c r="G192" s="168"/>
    </x:row>
    <x:row r="193">
      <x:c r="F193" s="168"/>
      <x:c r="G193" s="168"/>
    </x:row>
    <x:row r="194">
      <x:c r="F194" s="168"/>
      <x:c r="G194" s="168"/>
    </x:row>
    <x:row r="195">
      <x:c r="F195" s="168"/>
      <x:c r="G195" s="168"/>
    </x:row>
    <x:row r="196">
      <x:c r="F196" s="168"/>
      <x:c r="G196" s="168"/>
    </x:row>
    <x:row r="197">
      <x:c r="F197" s="168"/>
      <x:c r="G197" s="168"/>
    </x:row>
    <x:row r="198">
      <x:c r="F198" s="168"/>
      <x:c r="G198" s="168"/>
    </x:row>
    <x:row r="199">
      <x:c r="F199" s="168"/>
      <x:c r="G199" s="168"/>
    </x:row>
    <x:row r="200">
      <x:c r="F200" s="168"/>
      <x:c r="G200" s="168"/>
    </x:row>
  </x:sheetData>
  <x:mergeCells>
    <x:mergeCell ref="A1:L1"/>
    <x:mergeCell ref="A2:L2"/>
  </x:mergeCells>
  <x:dataValidations count="5">
    <x:dataValidation type="list" sqref="H5:H200">
      <x:formula1>"High,Moderate,Low"</x:formula1>
    </x:dataValidation>
    <x:dataValidation type="list" sqref="I5:I200">
      <x:formula1>"High,Moderate,Low"</x:formula1>
    </x:dataValidation>
    <x:dataValidation type="list" sqref="J5:J200">
      <x:formula1>"High,Moderate,Low"</x:formula1>
    </x:dataValidation>
    <x:dataValidation type="list" sqref="K5:K200">
      <x:formula1>"Yes,No"</x:formula1>
    </x:dataValidation>
    <x:dataValidation type="list" sqref="L5:L200">
      <x:formula1>"Active,Draft,Blocked,Complete"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aaefc1131684a1d"/>
  </x:tableParts>
</x:worksheet>
</file>

<file path=xl/worksheets/sheet3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2" hidden="0" customWidth="1"/>
    <x:col min="4" max="4" width="18" hidden="0" customWidth="1"/>
    <x:col min="5" max="5" width="16" hidden="0" customWidth="1"/>
    <x:col min="6" max="6" width="48" hidden="0" customWidth="1"/>
    <x:col min="7" max="7" width="14" hidden="0" customWidth="1"/>
    <x:col min="8" max="8" width="14" hidden="0" customWidth="1"/>
    <x:col min="9" max="9" width="16" hidden="0" customWidth="1"/>
    <x:col min="10" max="10" width="18" hidden="0" customWidth="1"/>
    <x:col min="11" max="11" width="16" hidden="0" customWidth="1"/>
    <x:col min="12" max="12" width="16" hidden="0" customWidth="1"/>
    <x:col min="13" max="13" width="14" hidden="0" customWidth="1"/>
    <x:col min="14" max="14" width="30" hidden="0" customWidth="1"/>
  </x:cols>
  <x:sheetData>
    <x:row r="1" ht="17.08984375" hidden="0" customHeight="1">
      <x:c r="A1" s="114" t="str">
        <x:v>Evidence Interpretation</x:v>
      </x:c>
    </x:row>
    <x:row r="2" ht="170.8984375" hidden="0" customHeight="1">
      <x:c r="A2" s="118" t="str">
        <x:v>Translate evidence into strategic meaning, vulnerability, behavioral implication, and adoption impact before anything reaches CIOS.</x:v>
      </x:c>
    </x:row>
    <x:row r="4" ht="34.1796875" hidden="0" customHeight="1">
      <x:c r="A4" s="127" t="str">
        <x:v>ProgramID</x:v>
      </x:c>
      <x:c r="B4" s="159" t="str">
        <x:v>StatementID</x:v>
      </x:c>
      <x:c r="C4" s="159" t="str">
        <x:v>EvidenceID</x:v>
      </x:c>
      <x:c r="D4" s="159" t="str">
        <x:v>ClinicalSignalStrength</x:v>
      </x:c>
      <x:c r="E4" s="159" t="str">
        <x:v>StatisticalStatus</x:v>
      </x:c>
      <x:c r="F4" s="159" t="str">
        <x:v>StrategicMeaning</x:v>
      </x:c>
      <x:c r="G4" s="159" t="str">
        <x:v>MessagingValue</x:v>
      </x:c>
      <x:c r="H4" s="159" t="str">
        <x:v>VulnerabilityFlag</x:v>
      </x:c>
      <x:c r="I4" s="159" t="str">
        <x:v>ObjectionPotential</x:v>
      </x:c>
      <x:c r="J4" s="159" t="str">
        <x:v>BehavioralImplication</x:v>
      </x:c>
      <x:c r="K4" s="159" t="str">
        <x:v>AdoptionImpact</x:v>
      </x:c>
      <x:c r="L4" s="159" t="str">
        <x:v>ForecastPriorityScore</x:v>
      </x:c>
      <x:c r="M4" s="159" t="str">
        <x:v>IncludeInForecast</x:v>
      </x:c>
      <x:c r="N4" s="128" t="str">
        <x:v>Comments</x:v>
      </x:c>
    </x:row>
    <x:row r="5" ht="51.26953125" hidden="0" customHeight="1">
      <x:c r="A5" s="143" t="str">
        <x:v>HIV_LAI_LAUNCH</x:v>
      </x:c>
      <x:c r="B5" s="164" t="str">
        <x:v>HIV_LAI_LAUNCH_ST01</x:v>
      </x:c>
      <x:c r="C5" s="164" t="str">
        <x:v>EV01</x:v>
      </x:c>
      <x:c r="D5" s="164" t="str">
        <x:v>Supporting</x:v>
      </x:c>
      <x:c r="E5" s="164" t="str">
        <x:v>Significant</x:v>
      </x:c>
      <x:c r="F5" s="164" t="str">
        <x:v>Supports the bridge that daily oral adherence vulnerability creates real clinical risk.</x:v>
      </x:c>
      <x:c r="G5" s="164" t="str">
        <x:v>High</x:v>
      </x:c>
      <x:c r="H5" s="164" t="str">
        <x:v>No</x:v>
      </x:c>
      <x:c r="I5" s="164" t="str">
        <x:v>Moderate</x:v>
      </x:c>
      <x:c r="J5" s="164" t="str">
        <x:v>Risk if ignored</x:v>
      </x:c>
      <x:c r="K5" s="164" t="str">
        <x:v>Positive</x:v>
      </x:c>
      <x:c r="L5" s="166" t="n">
        <x:f>IF(M5="No","",+IF(D5="Dominant",5,IF(D5="Supporting",3,IF(D5="Neutral",1,-2)))+IF(E5="Significant",2,IF(E5="Directional",1,IF(E5="Mixed",0,-1)))+IF(G5="High",2,IF(G5="Moderate",1,0))+IF(H5="Yes",-2,0)+IF(I5="High",-2,IF(I5="Moderate",-1,0))+IF(K5="Positive",2,IF(K5="Mixed",0,IF(K5="Negative",-2,0))))</x:f>
        <x:v>8</x:v>
      </x:c>
      <x:c r="M5" s="164" t="str">
        <x:v>Yes</x:v>
      </x:c>
      <x:c r="N5" s="144" t="str">
        <x:v>Good forecast input because it increases need-state urgency.</x:v>
      </x:c>
    </x:row>
    <x:row r="6" ht="51.26953125" hidden="0" customHeight="1">
      <x:c r="A6" s="145" t="str">
        <x:v>HIV_LAI_LAUNCH</x:v>
      </x:c>
      <x:c r="B6" s="173" t="str">
        <x:v>HIV_LAI_LAUNCH_ST02</x:v>
      </x:c>
      <x:c r="C6" s="173" t="str">
        <x:v>EV02</x:v>
      </x:c>
      <x:c r="D6" s="173" t="str">
        <x:v>Dominant</x:v>
      </x:c>
      <x:c r="E6" s="173" t="str">
        <x:v>Significant</x:v>
      </x:c>
      <x:c r="F6" s="173" t="str">
        <x:v>Demonstrates durable clinical value in appropriate patients and should anchor the belief shift.</x:v>
      </x:c>
      <x:c r="G6" s="173" t="str">
        <x:v>High</x:v>
      </x:c>
      <x:c r="H6" s="173" t="str">
        <x:v>No</x:v>
      </x:c>
      <x:c r="I6" s="173" t="str">
        <x:v>Low</x:v>
      </x:c>
      <x:c r="J6" s="173" t="str">
        <x:v>Positive</x:v>
      </x:c>
      <x:c r="K6" s="173" t="str">
        <x:v>Positive</x:v>
      </x:c>
      <x:c r="L6" s="174" t="n">
        <x:f>IF(M6="No","",+IF(D6="Dominant",5,IF(D6="Supporting",3,IF(D6="Neutral",1,-2)))+IF(E6="Significant",2,IF(E6="Directional",1,IF(E6="Mixed",0,-1)))+IF(G6="High",2,IF(G6="Moderate",1,0))+IF(H6="Yes",-2,0)+IF(I6="High",-2,IF(I6="Moderate",-1,0))+IF(K6="Positive",2,IF(K6="Mixed",0,IF(K6="Negative",-2,0))))</x:f>
        <x:v>11</x:v>
      </x:c>
      <x:c r="M6" s="173" t="str">
        <x:v>Yes</x:v>
      </x:c>
      <x:c r="N6" s="146" t="str">
        <x:v>High-value signal for CIOS export.</x:v>
      </x:c>
    </x:row>
    <x:row r="7" ht="51.26953125" hidden="0" customHeight="1">
      <x:c r="A7" s="145" t="str">
        <x:v>HIV_LAI_LAUNCH</x:v>
      </x:c>
      <x:c r="B7" s="173" t="str">
        <x:v>HIV_LAI_LAUNCH_ST03</x:v>
      </x:c>
      <x:c r="C7" s="173" t="str">
        <x:v>EV03</x:v>
      </x:c>
      <x:c r="D7" s="173" t="str">
        <x:v>Supporting</x:v>
      </x:c>
      <x:c r="E7" s="173" t="str">
        <x:v>Directional</x:v>
      </x:c>
      <x:c r="F7" s="173" t="str">
        <x:v>Highlights that workflow concerns can slow adoption even when clinical logic is favorable.</x:v>
      </x:c>
      <x:c r="G7" s="173" t="str">
        <x:v>Moderate</x:v>
      </x:c>
      <x:c r="H7" s="173" t="str">
        <x:v>Yes</x:v>
      </x:c>
      <x:c r="I7" s="173" t="str">
        <x:v>High</x:v>
      </x:c>
      <x:c r="J7" s="173" t="str">
        <x:v>High risk</x:v>
      </x:c>
      <x:c r="K7" s="173" t="str">
        <x:v>Negative</x:v>
      </x:c>
      <x:c r="L7" s="174" t="n">
        <x:f>IF(M7="No","",+IF(D7="Dominant",5,IF(D7="Supporting",3,IF(D7="Neutral",1,-2)))+IF(E7="Significant",2,IF(E7="Directional",1,IF(E7="Mixed",0,-1)))+IF(G7="High",2,IF(G7="Moderate",1,0))+IF(H7="Yes",-2,0)+IF(I7="High",-2,IF(I7="Moderate",-1,0))+IF(K7="Positive",2,IF(K7="Mixed",0,IF(K7="Negative",-2,0))))</x:f>
        <x:v>-1</x:v>
      </x:c>
      <x:c r="M7" s="173" t="str">
        <x:v>Yes</x:v>
      </x:c>
      <x:c r="N7" s="146" t="str">
        <x:v>Should route to BAOS as friction signal, not as claim anchor.</x:v>
      </x:c>
    </x:row>
    <x:row r="8" ht="17.08984375" hidden="0" customHeight="1">
      <x:c r="A8" s="147" t="str"/>
      <x:c r="B8" s="165" t="str"/>
      <x:c r="C8" s="165" t="str"/>
      <x:c r="D8" s="165" t="str"/>
      <x:c r="E8" s="165" t="str"/>
      <x:c r="F8" s="165" t="str"/>
      <x:c r="G8" s="165" t="str"/>
      <x:c r="H8" s="165" t="str"/>
      <x:c r="I8" s="165" t="str"/>
      <x:c r="J8" s="165" t="str"/>
      <x:c r="K8" s="165" t="str"/>
      <x:c r="L8" s="167" t="n">
        <x:f>IF(M8="No","",+IF(D8="Dominant",5,IF(D8="Supporting",3,IF(D8="Neutral",1,-2)))+IF(E8="Significant",2,IF(E8="Directional",1,IF(E8="Mixed",0,-1)))+IF(G8="High",2,IF(G8="Moderate",1,0))+IF(H8="Yes",-2,0)+IF(I8="High",-2,IF(I8="Moderate",-1,0))+IF(K8="Positive",2,IF(K8="Mixed",0,IF(K8="Negative",-2,0))))</x:f>
        <x:v>-3</x:v>
      </x:c>
      <x:c r="M8" s="165" t="str"/>
      <x:c r="N8" s="148" t="str"/>
    </x:row>
    <x:row r="9" ht="17.08984375" hidden="0" customHeight="1">
      <x:c r="L9" s="168" t="n">
        <x:f>IF(M9="No","",+IF(D9="Dominant",5,IF(D9="Supporting",3,IF(D9="Neutral",1,-2)))+IF(E9="Significant",2,IF(E9="Directional",1,IF(E9="Mixed",0,-1)))+IF(G9="High",2,IF(G9="Moderate",1,0))+IF(H9="Yes",-2,0)+IF(I9="High",-2,IF(I9="Moderate",-1,0))+IF(K9="Positive",2,IF(K9="Mixed",0,IF(K9="Negative",-2,0))))</x:f>
        <x:v>-3</x:v>
      </x:c>
    </x:row>
    <x:row r="10" ht="17.08984375" hidden="0" customHeight="1">
      <x:c r="L10" s="168" t="n">
        <x:f>IF(M10="No","",+IF(D10="Dominant",5,IF(D10="Supporting",3,IF(D10="Neutral",1,-2)))+IF(E10="Significant",2,IF(E10="Directional",1,IF(E10="Mixed",0,-1)))+IF(G10="High",2,IF(G10="Moderate",1,0))+IF(H10="Yes",-2,0)+IF(I10="High",-2,IF(I10="Moderate",-1,0))+IF(K10="Positive",2,IF(K10="Mixed",0,IF(K10="Negative",-2,0))))</x:f>
        <x:v>-3</x:v>
      </x:c>
    </x:row>
    <x:row r="11" ht="17.08984375" hidden="0" customHeight="1">
      <x:c r="L11" s="168" t="n">
        <x:f>IF(M11="No","",+IF(D11="Dominant",5,IF(D11="Supporting",3,IF(D11="Neutral",1,-2)))+IF(E11="Significant",2,IF(E11="Directional",1,IF(E11="Mixed",0,-1)))+IF(G11="High",2,IF(G11="Moderate",1,0))+IF(H11="Yes",-2,0)+IF(I11="High",-2,IF(I11="Moderate",-1,0))+IF(K11="Positive",2,IF(K11="Mixed",0,IF(K11="Negative",-2,0))))</x:f>
        <x:v>-3</x:v>
      </x:c>
    </x:row>
    <x:row r="12" ht="17.08984375" hidden="0" customHeight="1">
      <x:c r="L12" s="168" t="n">
        <x:f>IF(M12="No","",+IF(D12="Dominant",5,IF(D12="Supporting",3,IF(D12="Neutral",1,-2)))+IF(E12="Significant",2,IF(E12="Directional",1,IF(E12="Mixed",0,-1)))+IF(G12="High",2,IF(G12="Moderate",1,0))+IF(H12="Yes",-2,0)+IF(I12="High",-2,IF(I12="Moderate",-1,0))+IF(K12="Positive",2,IF(K12="Mixed",0,IF(K12="Negative",-2,0))))</x:f>
        <x:v>-3</x:v>
      </x:c>
    </x:row>
    <x:row r="13" ht="17.08984375" hidden="0" customHeight="1">
      <x:c r="L13" s="168" t="n">
        <x:f>IF(M13="No","",+IF(D13="Dominant",5,IF(D13="Supporting",3,IF(D13="Neutral",1,-2)))+IF(E13="Significant",2,IF(E13="Directional",1,IF(E13="Mixed",0,-1)))+IF(G13="High",2,IF(G13="Moderate",1,0))+IF(H13="Yes",-2,0)+IF(I13="High",-2,IF(I13="Moderate",-1,0))+IF(K13="Positive",2,IF(K13="Mixed",0,IF(K13="Negative",-2,0))))</x:f>
        <x:v>-3</x:v>
      </x:c>
    </x:row>
    <x:row r="14" ht="17.08984375" hidden="0" customHeight="1">
      <x:c r="L14" s="168" t="n">
        <x:f>IF(M14="No","",+IF(D14="Dominant",5,IF(D14="Supporting",3,IF(D14="Neutral",1,-2)))+IF(E14="Significant",2,IF(E14="Directional",1,IF(E14="Mixed",0,-1)))+IF(G14="High",2,IF(G14="Moderate",1,0))+IF(H14="Yes",-2,0)+IF(I14="High",-2,IF(I14="Moderate",-1,0))+IF(K14="Positive",2,IF(K14="Mixed",0,IF(K14="Negative",-2,0))))</x:f>
        <x:v>-3</x:v>
      </x:c>
    </x:row>
    <x:row r="15" ht="17.08984375" hidden="0" customHeight="1">
      <x:c r="L15" s="168" t="n">
        <x:f>IF(M15="No","",+IF(D15="Dominant",5,IF(D15="Supporting",3,IF(D15="Neutral",1,-2)))+IF(E15="Significant",2,IF(E15="Directional",1,IF(E15="Mixed",0,-1)))+IF(G15="High",2,IF(G15="Moderate",1,0))+IF(H15="Yes",-2,0)+IF(I15="High",-2,IF(I15="Moderate",-1,0))+IF(K15="Positive",2,IF(K15="Mixed",0,IF(K15="Negative",-2,0))))</x:f>
        <x:v>-3</x:v>
      </x:c>
    </x:row>
    <x:row r="16" ht="17.08984375" hidden="0" customHeight="1">
      <x:c r="L16" s="168" t="n">
        <x:f>IF(M16="No","",+IF(D16="Dominant",5,IF(D16="Supporting",3,IF(D16="Neutral",1,-2)))+IF(E16="Significant",2,IF(E16="Directional",1,IF(E16="Mixed",0,-1)))+IF(G16="High",2,IF(G16="Moderate",1,0))+IF(H16="Yes",-2,0)+IF(I16="High",-2,IF(I16="Moderate",-1,0))+IF(K16="Positive",2,IF(K16="Mixed",0,IF(K16="Negative",-2,0))))</x:f>
        <x:v>-3</x:v>
      </x:c>
    </x:row>
    <x:row r="17" ht="17.08984375" hidden="0" customHeight="1">
      <x:c r="L17" s="168" t="n">
        <x:f>IF(M17="No","",+IF(D17="Dominant",5,IF(D17="Supporting",3,IF(D17="Neutral",1,-2)))+IF(E17="Significant",2,IF(E17="Directional",1,IF(E17="Mixed",0,-1)))+IF(G17="High",2,IF(G17="Moderate",1,0))+IF(H17="Yes",-2,0)+IF(I17="High",-2,IF(I17="Moderate",-1,0))+IF(K17="Positive",2,IF(K17="Mixed",0,IF(K17="Negative",-2,0))))</x:f>
        <x:v>-3</x:v>
      </x:c>
    </x:row>
    <x:row r="18" ht="17.08984375" hidden="0" customHeight="1">
      <x:c r="L18" s="168" t="n">
        <x:f>IF(M18="No","",+IF(D18="Dominant",5,IF(D18="Supporting",3,IF(D18="Neutral",1,-2)))+IF(E18="Significant",2,IF(E18="Directional",1,IF(E18="Mixed",0,-1)))+IF(G18="High",2,IF(G18="Moderate",1,0))+IF(H18="Yes",-2,0)+IF(I18="High",-2,IF(I18="Moderate",-1,0))+IF(K18="Positive",2,IF(K18="Mixed",0,IF(K18="Negative",-2,0))))</x:f>
        <x:v>-3</x:v>
      </x:c>
    </x:row>
    <x:row r="19" ht="17.08984375" hidden="0" customHeight="1">
      <x:c r="L19" s="168" t="n">
        <x:f>IF(M19="No","",+IF(D19="Dominant",5,IF(D19="Supporting",3,IF(D19="Neutral",1,-2)))+IF(E19="Significant",2,IF(E19="Directional",1,IF(E19="Mixed",0,-1)))+IF(G19="High",2,IF(G19="Moderate",1,0))+IF(H19="Yes",-2,0)+IF(I19="High",-2,IF(I19="Moderate",-1,0))+IF(K19="Positive",2,IF(K19="Mixed",0,IF(K19="Negative",-2,0))))</x:f>
        <x:v>-3</x:v>
      </x:c>
    </x:row>
    <x:row r="20" ht="17.08984375" hidden="0" customHeight="1">
      <x:c r="L20" s="168" t="n">
        <x:f>IF(M20="No","",+IF(D20="Dominant",5,IF(D20="Supporting",3,IF(D20="Neutral",1,-2)))+IF(E20="Significant",2,IF(E20="Directional",1,IF(E20="Mixed",0,-1)))+IF(G20="High",2,IF(G20="Moderate",1,0))+IF(H20="Yes",-2,0)+IF(I20="High",-2,IF(I20="Moderate",-1,0))+IF(K20="Positive",2,IF(K20="Mixed",0,IF(K20="Negative",-2,0))))</x:f>
        <x:v>-3</x:v>
      </x:c>
    </x:row>
    <x:row r="21" ht="17.08984375" hidden="0" customHeight="1">
      <x:c r="L21" s="168" t="n">
        <x:f>IF(M21="No","",+IF(D21="Dominant",5,IF(D21="Supporting",3,IF(D21="Neutral",1,-2)))+IF(E21="Significant",2,IF(E21="Directional",1,IF(E21="Mixed",0,-1)))+IF(G21="High",2,IF(G21="Moderate",1,0))+IF(H21="Yes",-2,0)+IF(I21="High",-2,IF(I21="Moderate",-1,0))+IF(K21="Positive",2,IF(K21="Mixed",0,IF(K21="Negative",-2,0))))</x:f>
        <x:v>-3</x:v>
      </x:c>
    </x:row>
    <x:row r="22" ht="17.08984375" hidden="0" customHeight="1">
      <x:c r="L22" s="168" t="n">
        <x:f>IF(M22="No","",+IF(D22="Dominant",5,IF(D22="Supporting",3,IF(D22="Neutral",1,-2)))+IF(E22="Significant",2,IF(E22="Directional",1,IF(E22="Mixed",0,-1)))+IF(G22="High",2,IF(G22="Moderate",1,0))+IF(H22="Yes",-2,0)+IF(I22="High",-2,IF(I22="Moderate",-1,0))+IF(K22="Positive",2,IF(K22="Mixed",0,IF(K22="Negative",-2,0))))</x:f>
        <x:v>-3</x:v>
      </x:c>
    </x:row>
    <x:row r="23" ht="17.08984375" hidden="0" customHeight="1">
      <x:c r="L23" s="168" t="n">
        <x:f>IF(M23="No","",+IF(D23="Dominant",5,IF(D23="Supporting",3,IF(D23="Neutral",1,-2)))+IF(E23="Significant",2,IF(E23="Directional",1,IF(E23="Mixed",0,-1)))+IF(G23="High",2,IF(G23="Moderate",1,0))+IF(H23="Yes",-2,0)+IF(I23="High",-2,IF(I23="Moderate",-1,0))+IF(K23="Positive",2,IF(K23="Mixed",0,IF(K23="Negative",-2,0))))</x:f>
        <x:v>-3</x:v>
      </x:c>
    </x:row>
    <x:row r="24" ht="17.08984375" hidden="0" customHeight="1">
      <x:c r="L24" s="168" t="n">
        <x:f>IF(M24="No","",+IF(D24="Dominant",5,IF(D24="Supporting",3,IF(D24="Neutral",1,-2)))+IF(E24="Significant",2,IF(E24="Directional",1,IF(E24="Mixed",0,-1)))+IF(G24="High",2,IF(G24="Moderate",1,0))+IF(H24="Yes",-2,0)+IF(I24="High",-2,IF(I24="Moderate",-1,0))+IF(K24="Positive",2,IF(K24="Mixed",0,IF(K24="Negative",-2,0))))</x:f>
        <x:v>-3</x:v>
      </x:c>
    </x:row>
    <x:row r="25" ht="17.08984375" hidden="0" customHeight="1">
      <x:c r="L25" s="168" t="n">
        <x:f>IF(M25="No","",+IF(D25="Dominant",5,IF(D25="Supporting",3,IF(D25="Neutral",1,-2)))+IF(E25="Significant",2,IF(E25="Directional",1,IF(E25="Mixed",0,-1)))+IF(G25="High",2,IF(G25="Moderate",1,0))+IF(H25="Yes",-2,0)+IF(I25="High",-2,IF(I25="Moderate",-1,0))+IF(K25="Positive",2,IF(K25="Mixed",0,IF(K25="Negative",-2,0))))</x:f>
        <x:v>-3</x:v>
      </x:c>
    </x:row>
    <x:row r="26" ht="17.08984375" hidden="0" customHeight="1">
      <x:c r="L26" s="168" t="n">
        <x:f>IF(M26="No","",+IF(D26="Dominant",5,IF(D26="Supporting",3,IF(D26="Neutral",1,-2)))+IF(E26="Significant",2,IF(E26="Directional",1,IF(E26="Mixed",0,-1)))+IF(G26="High",2,IF(G26="Moderate",1,0))+IF(H26="Yes",-2,0)+IF(I26="High",-2,IF(I26="Moderate",-1,0))+IF(K26="Positive",2,IF(K26="Mixed",0,IF(K26="Negative",-2,0))))</x:f>
        <x:v>-3</x:v>
      </x:c>
    </x:row>
    <x:row r="27" ht="17.08984375" hidden="0" customHeight="1">
      <x:c r="L27" s="168" t="n">
        <x:f>IF(M27="No","",+IF(D27="Dominant",5,IF(D27="Supporting",3,IF(D27="Neutral",1,-2)))+IF(E27="Significant",2,IF(E27="Directional",1,IF(E27="Mixed",0,-1)))+IF(G27="High",2,IF(G27="Moderate",1,0))+IF(H27="Yes",-2,0)+IF(I27="High",-2,IF(I27="Moderate",-1,0))+IF(K27="Positive",2,IF(K27="Mixed",0,IF(K27="Negative",-2,0))))</x:f>
        <x:v>-3</x:v>
      </x:c>
    </x:row>
    <x:row r="28" ht="17.08984375" hidden="0" customHeight="1">
      <x:c r="L28" s="168" t="n">
        <x:f>IF(M28="No","",+IF(D28="Dominant",5,IF(D28="Supporting",3,IF(D28="Neutral",1,-2)))+IF(E28="Significant",2,IF(E28="Directional",1,IF(E28="Mixed",0,-1)))+IF(G28="High",2,IF(G28="Moderate",1,0))+IF(H28="Yes",-2,0)+IF(I28="High",-2,IF(I28="Moderate",-1,0))+IF(K28="Positive",2,IF(K28="Mixed",0,IF(K28="Negative",-2,0))))</x:f>
        <x:v>-3</x:v>
      </x:c>
    </x:row>
    <x:row r="29" ht="17.08984375" hidden="0" customHeight="1">
      <x:c r="L29" s="168" t="n">
        <x:f>IF(M29="No","",+IF(D29="Dominant",5,IF(D29="Supporting",3,IF(D29="Neutral",1,-2)))+IF(E29="Significant",2,IF(E29="Directional",1,IF(E29="Mixed",0,-1)))+IF(G29="High",2,IF(G29="Moderate",1,0))+IF(H29="Yes",-2,0)+IF(I29="High",-2,IF(I29="Moderate",-1,0))+IF(K29="Positive",2,IF(K29="Mixed",0,IF(K29="Negative",-2,0))))</x:f>
        <x:v>-3</x:v>
      </x:c>
    </x:row>
    <x:row r="30" ht="17.08984375" hidden="0" customHeight="1">
      <x:c r="L30" s="168" t="n">
        <x:f>IF(M30="No","",+IF(D30="Dominant",5,IF(D30="Supporting",3,IF(D30="Neutral",1,-2)))+IF(E30="Significant",2,IF(E30="Directional",1,IF(E30="Mixed",0,-1)))+IF(G30="High",2,IF(G30="Moderate",1,0))+IF(H30="Yes",-2,0)+IF(I30="High",-2,IF(I30="Moderate",-1,0))+IF(K30="Positive",2,IF(K30="Mixed",0,IF(K30="Negative",-2,0))))</x:f>
        <x:v>-3</x:v>
      </x:c>
    </x:row>
    <x:row r="31" ht="17.08984375" hidden="0" customHeight="1">
      <x:c r="L31" s="168" t="n">
        <x:f>IF(M31="No","",+IF(D31="Dominant",5,IF(D31="Supporting",3,IF(D31="Neutral",1,-2)))+IF(E31="Significant",2,IF(E31="Directional",1,IF(E31="Mixed",0,-1)))+IF(G31="High",2,IF(G31="Moderate",1,0))+IF(H31="Yes",-2,0)+IF(I31="High",-2,IF(I31="Moderate",-1,0))+IF(K31="Positive",2,IF(K31="Mixed",0,IF(K31="Negative",-2,0))))</x:f>
        <x:v>-3</x:v>
      </x:c>
    </x:row>
    <x:row r="32" ht="17.08984375" hidden="0" customHeight="1">
      <x:c r="L32" s="168" t="n">
        <x:f>IF(M32="No","",+IF(D32="Dominant",5,IF(D32="Supporting",3,IF(D32="Neutral",1,-2)))+IF(E32="Significant",2,IF(E32="Directional",1,IF(E32="Mixed",0,-1)))+IF(G32="High",2,IF(G32="Moderate",1,0))+IF(H32="Yes",-2,0)+IF(I32="High",-2,IF(I32="Moderate",-1,0))+IF(K32="Positive",2,IF(K32="Mixed",0,IF(K32="Negative",-2,0))))</x:f>
        <x:v>-3</x:v>
      </x:c>
    </x:row>
    <x:row r="33" ht="17.08984375" hidden="0" customHeight="1">
      <x:c r="L33" s="168" t="n">
        <x:f>IF(M33="No","",+IF(D33="Dominant",5,IF(D33="Supporting",3,IF(D33="Neutral",1,-2)))+IF(E33="Significant",2,IF(E33="Directional",1,IF(E33="Mixed",0,-1)))+IF(G33="High",2,IF(G33="Moderate",1,0))+IF(H33="Yes",-2,0)+IF(I33="High",-2,IF(I33="Moderate",-1,0))+IF(K33="Positive",2,IF(K33="Mixed",0,IF(K33="Negative",-2,0))))</x:f>
        <x:v>-3</x:v>
      </x:c>
    </x:row>
    <x:row r="34" ht="17.08984375" hidden="0" customHeight="1">
      <x:c r="L34" s="168" t="n">
        <x:f>IF(M34="No","",+IF(D34="Dominant",5,IF(D34="Supporting",3,IF(D34="Neutral",1,-2)))+IF(E34="Significant",2,IF(E34="Directional",1,IF(E34="Mixed",0,-1)))+IF(G34="High",2,IF(G34="Moderate",1,0))+IF(H34="Yes",-2,0)+IF(I34="High",-2,IF(I34="Moderate",-1,0))+IF(K34="Positive",2,IF(K34="Mixed",0,IF(K34="Negative",-2,0))))</x:f>
        <x:v>-3</x:v>
      </x:c>
    </x:row>
    <x:row r="35" ht="17.08984375" hidden="0" customHeight="1">
      <x:c r="L35" s="168" t="n">
        <x:f>IF(M35="No","",+IF(D35="Dominant",5,IF(D35="Supporting",3,IF(D35="Neutral",1,-2)))+IF(E35="Significant",2,IF(E35="Directional",1,IF(E35="Mixed",0,-1)))+IF(G35="High",2,IF(G35="Moderate",1,0))+IF(H35="Yes",-2,0)+IF(I35="High",-2,IF(I35="Moderate",-1,0))+IF(K35="Positive",2,IF(K35="Mixed",0,IF(K35="Negative",-2,0))))</x:f>
        <x:v>-3</x:v>
      </x:c>
    </x:row>
    <x:row r="36" ht="17.08984375" hidden="0" customHeight="1">
      <x:c r="L36" s="168" t="n">
        <x:f>IF(M36="No","",+IF(D36="Dominant",5,IF(D36="Supporting",3,IF(D36="Neutral",1,-2)))+IF(E36="Significant",2,IF(E36="Directional",1,IF(E36="Mixed",0,-1)))+IF(G36="High",2,IF(G36="Moderate",1,0))+IF(H36="Yes",-2,0)+IF(I36="High",-2,IF(I36="Moderate",-1,0))+IF(K36="Positive",2,IF(K36="Mixed",0,IF(K36="Negative",-2,0))))</x:f>
        <x:v>-3</x:v>
      </x:c>
    </x:row>
    <x:row r="37" ht="17.08984375" hidden="0" customHeight="1">
      <x:c r="L37" s="168" t="n">
        <x:f>IF(M37="No","",+IF(D37="Dominant",5,IF(D37="Supporting",3,IF(D37="Neutral",1,-2)))+IF(E37="Significant",2,IF(E37="Directional",1,IF(E37="Mixed",0,-1)))+IF(G37="High",2,IF(G37="Moderate",1,0))+IF(H37="Yes",-2,0)+IF(I37="High",-2,IF(I37="Moderate",-1,0))+IF(K37="Positive",2,IF(K37="Mixed",0,IF(K37="Negative",-2,0))))</x:f>
        <x:v>-3</x:v>
      </x:c>
    </x:row>
    <x:row r="38" ht="17.08984375" hidden="0" customHeight="1">
      <x:c r="L38" s="168" t="n">
        <x:f>IF(M38="No","",+IF(D38="Dominant",5,IF(D38="Supporting",3,IF(D38="Neutral",1,-2)))+IF(E38="Significant",2,IF(E38="Directional",1,IF(E38="Mixed",0,-1)))+IF(G38="High",2,IF(G38="Moderate",1,0))+IF(H38="Yes",-2,0)+IF(I38="High",-2,IF(I38="Moderate",-1,0))+IF(K38="Positive",2,IF(K38="Mixed",0,IF(K38="Negative",-2,0))))</x:f>
        <x:v>-3</x:v>
      </x:c>
    </x:row>
    <x:row r="39" ht="17.08984375" hidden="0" customHeight="1">
      <x:c r="L39" s="168" t="n">
        <x:f>IF(M39="No","",+IF(D39="Dominant",5,IF(D39="Supporting",3,IF(D39="Neutral",1,-2)))+IF(E39="Significant",2,IF(E39="Directional",1,IF(E39="Mixed",0,-1)))+IF(G39="High",2,IF(G39="Moderate",1,0))+IF(H39="Yes",-2,0)+IF(I39="High",-2,IF(I39="Moderate",-1,0))+IF(K39="Positive",2,IF(K39="Mixed",0,IF(K39="Negative",-2,0))))</x:f>
        <x:v>-3</x:v>
      </x:c>
    </x:row>
    <x:row r="40" ht="17.08984375" hidden="0" customHeight="1">
      <x:c r="L40" s="168" t="n">
        <x:f>IF(M40="No","",+IF(D40="Dominant",5,IF(D40="Supporting",3,IF(D40="Neutral",1,-2)))+IF(E40="Significant",2,IF(E40="Directional",1,IF(E40="Mixed",0,-1)))+IF(G40="High",2,IF(G40="Moderate",1,0))+IF(H40="Yes",-2,0)+IF(I40="High",-2,IF(I40="Moderate",-1,0))+IF(K40="Positive",2,IF(K40="Mixed",0,IF(K40="Negative",-2,0))))</x:f>
        <x:v>-3</x:v>
      </x:c>
    </x:row>
    <x:row r="41">
      <x:c r="L41" s="168" t="n">
        <x:f>IF(M41="No","",+IF(D41="Dominant",5,IF(D41="Supporting",3,IF(D41="Neutral",1,-2)))+IF(E41="Significant",2,IF(E41="Directional",1,IF(E41="Mixed",0,-1)))+IF(G41="High",2,IF(G41="Moderate",1,0))+IF(H41="Yes",-2,0)+IF(I41="High",-2,IF(I41="Moderate",-1,0))+IF(K41="Positive",2,IF(K41="Mixed",0,IF(K41="Negative",-2,0))))</x:f>
        <x:v>-3</x:v>
      </x:c>
    </x:row>
    <x:row r="42">
      <x:c r="L42" s="168" t="n">
        <x:f>IF(M42="No","",+IF(D42="Dominant",5,IF(D42="Supporting",3,IF(D42="Neutral",1,-2)))+IF(E42="Significant",2,IF(E42="Directional",1,IF(E42="Mixed",0,-1)))+IF(G42="High",2,IF(G42="Moderate",1,0))+IF(H42="Yes",-2,0)+IF(I42="High",-2,IF(I42="Moderate",-1,0))+IF(K42="Positive",2,IF(K42="Mixed",0,IF(K42="Negative",-2,0))))</x:f>
        <x:v>-3</x:v>
      </x:c>
    </x:row>
    <x:row r="43">
      <x:c r="L43" s="168" t="n">
        <x:f>IF(M43="No","",+IF(D43="Dominant",5,IF(D43="Supporting",3,IF(D43="Neutral",1,-2)))+IF(E43="Significant",2,IF(E43="Directional",1,IF(E43="Mixed",0,-1)))+IF(G43="High",2,IF(G43="Moderate",1,0))+IF(H43="Yes",-2,0)+IF(I43="High",-2,IF(I43="Moderate",-1,0))+IF(K43="Positive",2,IF(K43="Mixed",0,IF(K43="Negative",-2,0))))</x:f>
        <x:v>-3</x:v>
      </x:c>
    </x:row>
    <x:row r="44">
      <x:c r="L44" s="168" t="n">
        <x:f>IF(M44="No","",+IF(D44="Dominant",5,IF(D44="Supporting",3,IF(D44="Neutral",1,-2)))+IF(E44="Significant",2,IF(E44="Directional",1,IF(E44="Mixed",0,-1)))+IF(G44="High",2,IF(G44="Moderate",1,0))+IF(H44="Yes",-2,0)+IF(I44="High",-2,IF(I44="Moderate",-1,0))+IF(K44="Positive",2,IF(K44="Mixed",0,IF(K44="Negative",-2,0))))</x:f>
        <x:v>-3</x:v>
      </x:c>
    </x:row>
    <x:row r="45">
      <x:c r="L45" s="168" t="n">
        <x:f>IF(M45="No","",+IF(D45="Dominant",5,IF(D45="Supporting",3,IF(D45="Neutral",1,-2)))+IF(E45="Significant",2,IF(E45="Directional",1,IF(E45="Mixed",0,-1)))+IF(G45="High",2,IF(G45="Moderate",1,0))+IF(H45="Yes",-2,0)+IF(I45="High",-2,IF(I45="Moderate",-1,0))+IF(K45="Positive",2,IF(K45="Mixed",0,IF(K45="Negative",-2,0))))</x:f>
        <x:v>-3</x:v>
      </x:c>
    </x:row>
    <x:row r="46">
      <x:c r="L46" s="168" t="n">
        <x:f>IF(M46="No","",+IF(D46="Dominant",5,IF(D46="Supporting",3,IF(D46="Neutral",1,-2)))+IF(E46="Significant",2,IF(E46="Directional",1,IF(E46="Mixed",0,-1)))+IF(G46="High",2,IF(G46="Moderate",1,0))+IF(H46="Yes",-2,0)+IF(I46="High",-2,IF(I46="Moderate",-1,0))+IF(K46="Positive",2,IF(K46="Mixed",0,IF(K46="Negative",-2,0))))</x:f>
        <x:v>-3</x:v>
      </x:c>
    </x:row>
    <x:row r="47">
      <x:c r="L47" s="168" t="n">
        <x:f>IF(M47="No","",+IF(D47="Dominant",5,IF(D47="Supporting",3,IF(D47="Neutral",1,-2)))+IF(E47="Significant",2,IF(E47="Directional",1,IF(E47="Mixed",0,-1)))+IF(G47="High",2,IF(G47="Moderate",1,0))+IF(H47="Yes",-2,0)+IF(I47="High",-2,IF(I47="Moderate",-1,0))+IF(K47="Positive",2,IF(K47="Mixed",0,IF(K47="Negative",-2,0))))</x:f>
        <x:v>-3</x:v>
      </x:c>
    </x:row>
    <x:row r="48">
      <x:c r="L48" s="168" t="n">
        <x:f>IF(M48="No","",+IF(D48="Dominant",5,IF(D48="Supporting",3,IF(D48="Neutral",1,-2)))+IF(E48="Significant",2,IF(E48="Directional",1,IF(E48="Mixed",0,-1)))+IF(G48="High",2,IF(G48="Moderate",1,0))+IF(H48="Yes",-2,0)+IF(I48="High",-2,IF(I48="Moderate",-1,0))+IF(K48="Positive",2,IF(K48="Mixed",0,IF(K48="Negative",-2,0))))</x:f>
        <x:v>-3</x:v>
      </x:c>
    </x:row>
    <x:row r="49">
      <x:c r="L49" s="168" t="n">
        <x:f>IF(M49="No","",+IF(D49="Dominant",5,IF(D49="Supporting",3,IF(D49="Neutral",1,-2)))+IF(E49="Significant",2,IF(E49="Directional",1,IF(E49="Mixed",0,-1)))+IF(G49="High",2,IF(G49="Moderate",1,0))+IF(H49="Yes",-2,0)+IF(I49="High",-2,IF(I49="Moderate",-1,0))+IF(K49="Positive",2,IF(K49="Mixed",0,IF(K49="Negative",-2,0))))</x:f>
        <x:v>-3</x:v>
      </x:c>
    </x:row>
    <x:row r="50">
      <x:c r="L50" s="168" t="n">
        <x:f>IF(M50="No","",+IF(D50="Dominant",5,IF(D50="Supporting",3,IF(D50="Neutral",1,-2)))+IF(E50="Significant",2,IF(E50="Directional",1,IF(E50="Mixed",0,-1)))+IF(G50="High",2,IF(G50="Moderate",1,0))+IF(H50="Yes",-2,0)+IF(I50="High",-2,IF(I50="Moderate",-1,0))+IF(K50="Positive",2,IF(K50="Mixed",0,IF(K50="Negative",-2,0))))</x:f>
        <x:v>-3</x:v>
      </x:c>
    </x:row>
    <x:row r="51">
      <x:c r="L51" s="168" t="n">
        <x:f>IF(M51="No","",+IF(D51="Dominant",5,IF(D51="Supporting",3,IF(D51="Neutral",1,-2)))+IF(E51="Significant",2,IF(E51="Directional",1,IF(E51="Mixed",0,-1)))+IF(G51="High",2,IF(G51="Moderate",1,0))+IF(H51="Yes",-2,0)+IF(I51="High",-2,IF(I51="Moderate",-1,0))+IF(K51="Positive",2,IF(K51="Mixed",0,IF(K51="Negative",-2,0))))</x:f>
        <x:v>-3</x:v>
      </x:c>
    </x:row>
    <x:row r="52">
      <x:c r="L52" s="168" t="n">
        <x:f>IF(M52="No","",+IF(D52="Dominant",5,IF(D52="Supporting",3,IF(D52="Neutral",1,-2)))+IF(E52="Significant",2,IF(E52="Directional",1,IF(E52="Mixed",0,-1)))+IF(G52="High",2,IF(G52="Moderate",1,0))+IF(H52="Yes",-2,0)+IF(I52="High",-2,IF(I52="Moderate",-1,0))+IF(K52="Positive",2,IF(K52="Mixed",0,IF(K52="Negative",-2,0))))</x:f>
        <x:v>-3</x:v>
      </x:c>
    </x:row>
    <x:row r="53">
      <x:c r="L53" s="168" t="n">
        <x:f>IF(M53="No","",+IF(D53="Dominant",5,IF(D53="Supporting",3,IF(D53="Neutral",1,-2)))+IF(E53="Significant",2,IF(E53="Directional",1,IF(E53="Mixed",0,-1)))+IF(G53="High",2,IF(G53="Moderate",1,0))+IF(H53="Yes",-2,0)+IF(I53="High",-2,IF(I53="Moderate",-1,0))+IF(K53="Positive",2,IF(K53="Mixed",0,IF(K53="Negative",-2,0))))</x:f>
        <x:v>-3</x:v>
      </x:c>
    </x:row>
    <x:row r="54">
      <x:c r="L54" s="168" t="n">
        <x:f>IF(M54="No","",+IF(D54="Dominant",5,IF(D54="Supporting",3,IF(D54="Neutral",1,-2)))+IF(E54="Significant",2,IF(E54="Directional",1,IF(E54="Mixed",0,-1)))+IF(G54="High",2,IF(G54="Moderate",1,0))+IF(H54="Yes",-2,0)+IF(I54="High",-2,IF(I54="Moderate",-1,0))+IF(K54="Positive",2,IF(K54="Mixed",0,IF(K54="Negative",-2,0))))</x:f>
        <x:v>-3</x:v>
      </x:c>
    </x:row>
    <x:row r="55">
      <x:c r="L55" s="168" t="n">
        <x:f>IF(M55="No","",+IF(D55="Dominant",5,IF(D55="Supporting",3,IF(D55="Neutral",1,-2)))+IF(E55="Significant",2,IF(E55="Directional",1,IF(E55="Mixed",0,-1)))+IF(G55="High",2,IF(G55="Moderate",1,0))+IF(H55="Yes",-2,0)+IF(I55="High",-2,IF(I55="Moderate",-1,0))+IF(K55="Positive",2,IF(K55="Mixed",0,IF(K55="Negative",-2,0))))</x:f>
        <x:v>-3</x:v>
      </x:c>
    </x:row>
    <x:row r="56">
      <x:c r="L56" s="168" t="n">
        <x:f>IF(M56="No","",+IF(D56="Dominant",5,IF(D56="Supporting",3,IF(D56="Neutral",1,-2)))+IF(E56="Significant",2,IF(E56="Directional",1,IF(E56="Mixed",0,-1)))+IF(G56="High",2,IF(G56="Moderate",1,0))+IF(H56="Yes",-2,0)+IF(I56="High",-2,IF(I56="Moderate",-1,0))+IF(K56="Positive",2,IF(K56="Mixed",0,IF(K56="Negative",-2,0))))</x:f>
        <x:v>-3</x:v>
      </x:c>
    </x:row>
    <x:row r="57">
      <x:c r="L57" s="168" t="n">
        <x:f>IF(M57="No","",+IF(D57="Dominant",5,IF(D57="Supporting",3,IF(D57="Neutral",1,-2)))+IF(E57="Significant",2,IF(E57="Directional",1,IF(E57="Mixed",0,-1)))+IF(G57="High",2,IF(G57="Moderate",1,0))+IF(H57="Yes",-2,0)+IF(I57="High",-2,IF(I57="Moderate",-1,0))+IF(K57="Positive",2,IF(K57="Mixed",0,IF(K57="Negative",-2,0))))</x:f>
        <x:v>-3</x:v>
      </x:c>
    </x:row>
    <x:row r="58">
      <x:c r="L58" s="168" t="n">
        <x:f>IF(M58="No","",+IF(D58="Dominant",5,IF(D58="Supporting",3,IF(D58="Neutral",1,-2)))+IF(E58="Significant",2,IF(E58="Directional",1,IF(E58="Mixed",0,-1)))+IF(G58="High",2,IF(G58="Moderate",1,0))+IF(H58="Yes",-2,0)+IF(I58="High",-2,IF(I58="Moderate",-1,0))+IF(K58="Positive",2,IF(K58="Mixed",0,IF(K58="Negative",-2,0))))</x:f>
        <x:v>-3</x:v>
      </x:c>
    </x:row>
    <x:row r="59">
      <x:c r="L59" s="168" t="n">
        <x:f>IF(M59="No","",+IF(D59="Dominant",5,IF(D59="Supporting",3,IF(D59="Neutral",1,-2)))+IF(E59="Significant",2,IF(E59="Directional",1,IF(E59="Mixed",0,-1)))+IF(G59="High",2,IF(G59="Moderate",1,0))+IF(H59="Yes",-2,0)+IF(I59="High",-2,IF(I59="Moderate",-1,0))+IF(K59="Positive",2,IF(K59="Mixed",0,IF(K59="Negative",-2,0))))</x:f>
        <x:v>-3</x:v>
      </x:c>
    </x:row>
    <x:row r="60">
      <x:c r="L60" s="168" t="n">
        <x:f>IF(M60="No","",+IF(D60="Dominant",5,IF(D60="Supporting",3,IF(D60="Neutral",1,-2)))+IF(E60="Significant",2,IF(E60="Directional",1,IF(E60="Mixed",0,-1)))+IF(G60="High",2,IF(G60="Moderate",1,0))+IF(H60="Yes",-2,0)+IF(I60="High",-2,IF(I60="Moderate",-1,0))+IF(K60="Positive",2,IF(K60="Mixed",0,IF(K60="Negative",-2,0))))</x:f>
        <x:v>-3</x:v>
      </x:c>
    </x:row>
    <x:row r="61">
      <x:c r="L61" s="168" t="n">
        <x:f>IF(M61="No","",+IF(D61="Dominant",5,IF(D61="Supporting",3,IF(D61="Neutral",1,-2)))+IF(E61="Significant",2,IF(E61="Directional",1,IF(E61="Mixed",0,-1)))+IF(G61="High",2,IF(G61="Moderate",1,0))+IF(H61="Yes",-2,0)+IF(I61="High",-2,IF(I61="Moderate",-1,0))+IF(K61="Positive",2,IF(K61="Mixed",0,IF(K61="Negative",-2,0))))</x:f>
        <x:v>-3</x:v>
      </x:c>
    </x:row>
    <x:row r="62">
      <x:c r="L62" s="168" t="n">
        <x:f>IF(M62="No","",+IF(D62="Dominant",5,IF(D62="Supporting",3,IF(D62="Neutral",1,-2)))+IF(E62="Significant",2,IF(E62="Directional",1,IF(E62="Mixed",0,-1)))+IF(G62="High",2,IF(G62="Moderate",1,0))+IF(H62="Yes",-2,0)+IF(I62="High",-2,IF(I62="Moderate",-1,0))+IF(K62="Positive",2,IF(K62="Mixed",0,IF(K62="Negative",-2,0))))</x:f>
        <x:v>-3</x:v>
      </x:c>
    </x:row>
    <x:row r="63">
      <x:c r="L63" s="168" t="n">
        <x:f>IF(M63="No","",+IF(D63="Dominant",5,IF(D63="Supporting",3,IF(D63="Neutral",1,-2)))+IF(E63="Significant",2,IF(E63="Directional",1,IF(E63="Mixed",0,-1)))+IF(G63="High",2,IF(G63="Moderate",1,0))+IF(H63="Yes",-2,0)+IF(I63="High",-2,IF(I63="Moderate",-1,0))+IF(K63="Positive",2,IF(K63="Mixed",0,IF(K63="Negative",-2,0))))</x:f>
        <x:v>-3</x:v>
      </x:c>
    </x:row>
    <x:row r="64">
      <x:c r="L64" s="168" t="n">
        <x:f>IF(M64="No","",+IF(D64="Dominant",5,IF(D64="Supporting",3,IF(D64="Neutral",1,-2)))+IF(E64="Significant",2,IF(E64="Directional",1,IF(E64="Mixed",0,-1)))+IF(G64="High",2,IF(G64="Moderate",1,0))+IF(H64="Yes",-2,0)+IF(I64="High",-2,IF(I64="Moderate",-1,0))+IF(K64="Positive",2,IF(K64="Mixed",0,IF(K64="Negative",-2,0))))</x:f>
        <x:v>-3</x:v>
      </x:c>
    </x:row>
    <x:row r="65">
      <x:c r="L65" s="168" t="n">
        <x:f>IF(M65="No","",+IF(D65="Dominant",5,IF(D65="Supporting",3,IF(D65="Neutral",1,-2)))+IF(E65="Significant",2,IF(E65="Directional",1,IF(E65="Mixed",0,-1)))+IF(G65="High",2,IF(G65="Moderate",1,0))+IF(H65="Yes",-2,0)+IF(I65="High",-2,IF(I65="Moderate",-1,0))+IF(K65="Positive",2,IF(K65="Mixed",0,IF(K65="Negative",-2,0))))</x:f>
        <x:v>-3</x:v>
      </x:c>
    </x:row>
    <x:row r="66">
      <x:c r="L66" s="168" t="n">
        <x:f>IF(M66="No","",+IF(D66="Dominant",5,IF(D66="Supporting",3,IF(D66="Neutral",1,-2)))+IF(E66="Significant",2,IF(E66="Directional",1,IF(E66="Mixed",0,-1)))+IF(G66="High",2,IF(G66="Moderate",1,0))+IF(H66="Yes",-2,0)+IF(I66="High",-2,IF(I66="Moderate",-1,0))+IF(K66="Positive",2,IF(K66="Mixed",0,IF(K66="Negative",-2,0))))</x:f>
        <x:v>-3</x:v>
      </x:c>
    </x:row>
    <x:row r="67">
      <x:c r="L67" s="168" t="n">
        <x:f>IF(M67="No","",+IF(D67="Dominant",5,IF(D67="Supporting",3,IF(D67="Neutral",1,-2)))+IF(E67="Significant",2,IF(E67="Directional",1,IF(E67="Mixed",0,-1)))+IF(G67="High",2,IF(G67="Moderate",1,0))+IF(H67="Yes",-2,0)+IF(I67="High",-2,IF(I67="Moderate",-1,0))+IF(K67="Positive",2,IF(K67="Mixed",0,IF(K67="Negative",-2,0))))</x:f>
        <x:v>-3</x:v>
      </x:c>
    </x:row>
    <x:row r="68">
      <x:c r="L68" s="168" t="n">
        <x:f>IF(M68="No","",+IF(D68="Dominant",5,IF(D68="Supporting",3,IF(D68="Neutral",1,-2)))+IF(E68="Significant",2,IF(E68="Directional",1,IF(E68="Mixed",0,-1)))+IF(G68="High",2,IF(G68="Moderate",1,0))+IF(H68="Yes",-2,0)+IF(I68="High",-2,IF(I68="Moderate",-1,0))+IF(K68="Positive",2,IF(K68="Mixed",0,IF(K68="Negative",-2,0))))</x:f>
        <x:v>-3</x:v>
      </x:c>
    </x:row>
    <x:row r="69">
      <x:c r="L69" s="168" t="n">
        <x:f>IF(M69="No","",+IF(D69="Dominant",5,IF(D69="Supporting",3,IF(D69="Neutral",1,-2)))+IF(E69="Significant",2,IF(E69="Directional",1,IF(E69="Mixed",0,-1)))+IF(G69="High",2,IF(G69="Moderate",1,0))+IF(H69="Yes",-2,0)+IF(I69="High",-2,IF(I69="Moderate",-1,0))+IF(K69="Positive",2,IF(K69="Mixed",0,IF(K69="Negative",-2,0))))</x:f>
        <x:v>-3</x:v>
      </x:c>
    </x:row>
    <x:row r="70">
      <x:c r="L70" s="168" t="n">
        <x:f>IF(M70="No","",+IF(D70="Dominant",5,IF(D70="Supporting",3,IF(D70="Neutral",1,-2)))+IF(E70="Significant",2,IF(E70="Directional",1,IF(E70="Mixed",0,-1)))+IF(G70="High",2,IF(G70="Moderate",1,0))+IF(H70="Yes",-2,0)+IF(I70="High",-2,IF(I70="Moderate",-1,0))+IF(K70="Positive",2,IF(K70="Mixed",0,IF(K70="Negative",-2,0))))</x:f>
        <x:v>-3</x:v>
      </x:c>
    </x:row>
    <x:row r="71">
      <x:c r="L71" s="168" t="n">
        <x:f>IF(M71="No","",+IF(D71="Dominant",5,IF(D71="Supporting",3,IF(D71="Neutral",1,-2)))+IF(E71="Significant",2,IF(E71="Directional",1,IF(E71="Mixed",0,-1)))+IF(G71="High",2,IF(G71="Moderate",1,0))+IF(H71="Yes",-2,0)+IF(I71="High",-2,IF(I71="Moderate",-1,0))+IF(K71="Positive",2,IF(K71="Mixed",0,IF(K71="Negative",-2,0))))</x:f>
        <x:v>-3</x:v>
      </x:c>
    </x:row>
    <x:row r="72">
      <x:c r="L72" s="168" t="n">
        <x:f>IF(M72="No","",+IF(D72="Dominant",5,IF(D72="Supporting",3,IF(D72="Neutral",1,-2)))+IF(E72="Significant",2,IF(E72="Directional",1,IF(E72="Mixed",0,-1)))+IF(G72="High",2,IF(G72="Moderate",1,0))+IF(H72="Yes",-2,0)+IF(I72="High",-2,IF(I72="Moderate",-1,0))+IF(K72="Positive",2,IF(K72="Mixed",0,IF(K72="Negative",-2,0))))</x:f>
        <x:v>-3</x:v>
      </x:c>
    </x:row>
    <x:row r="73">
      <x:c r="L73" s="168" t="n">
        <x:f>IF(M73="No","",+IF(D73="Dominant",5,IF(D73="Supporting",3,IF(D73="Neutral",1,-2)))+IF(E73="Significant",2,IF(E73="Directional",1,IF(E73="Mixed",0,-1)))+IF(G73="High",2,IF(G73="Moderate",1,0))+IF(H73="Yes",-2,0)+IF(I73="High",-2,IF(I73="Moderate",-1,0))+IF(K73="Positive",2,IF(K73="Mixed",0,IF(K73="Negative",-2,0))))</x:f>
        <x:v>-3</x:v>
      </x:c>
    </x:row>
    <x:row r="74">
      <x:c r="L74" s="168" t="n">
        <x:f>IF(M74="No","",+IF(D74="Dominant",5,IF(D74="Supporting",3,IF(D74="Neutral",1,-2)))+IF(E74="Significant",2,IF(E74="Directional",1,IF(E74="Mixed",0,-1)))+IF(G74="High",2,IF(G74="Moderate",1,0))+IF(H74="Yes",-2,0)+IF(I74="High",-2,IF(I74="Moderate",-1,0))+IF(K74="Positive",2,IF(K74="Mixed",0,IF(K74="Negative",-2,0))))</x:f>
        <x:v>-3</x:v>
      </x:c>
    </x:row>
    <x:row r="75">
      <x:c r="L75" s="168" t="n">
        <x:f>IF(M75="No","",+IF(D75="Dominant",5,IF(D75="Supporting",3,IF(D75="Neutral",1,-2)))+IF(E75="Significant",2,IF(E75="Directional",1,IF(E75="Mixed",0,-1)))+IF(G75="High",2,IF(G75="Moderate",1,0))+IF(H75="Yes",-2,0)+IF(I75="High",-2,IF(I75="Moderate",-1,0))+IF(K75="Positive",2,IF(K75="Mixed",0,IF(K75="Negative",-2,0))))</x:f>
        <x:v>-3</x:v>
      </x:c>
    </x:row>
    <x:row r="76">
      <x:c r="L76" s="168" t="n">
        <x:f>IF(M76="No","",+IF(D76="Dominant",5,IF(D76="Supporting",3,IF(D76="Neutral",1,-2)))+IF(E76="Significant",2,IF(E76="Directional",1,IF(E76="Mixed",0,-1)))+IF(G76="High",2,IF(G76="Moderate",1,0))+IF(H76="Yes",-2,0)+IF(I76="High",-2,IF(I76="Moderate",-1,0))+IF(K76="Positive",2,IF(K76="Mixed",0,IF(K76="Negative",-2,0))))</x:f>
        <x:v>-3</x:v>
      </x:c>
    </x:row>
    <x:row r="77">
      <x:c r="L77" s="168" t="n">
        <x:f>IF(M77="No","",+IF(D77="Dominant",5,IF(D77="Supporting",3,IF(D77="Neutral",1,-2)))+IF(E77="Significant",2,IF(E77="Directional",1,IF(E77="Mixed",0,-1)))+IF(G77="High",2,IF(G77="Moderate",1,0))+IF(H77="Yes",-2,0)+IF(I77="High",-2,IF(I77="Moderate",-1,0))+IF(K77="Positive",2,IF(K77="Mixed",0,IF(K77="Negative",-2,0))))</x:f>
        <x:v>-3</x:v>
      </x:c>
    </x:row>
    <x:row r="78">
      <x:c r="L78" s="168" t="n">
        <x:f>IF(M78="No","",+IF(D78="Dominant",5,IF(D78="Supporting",3,IF(D78="Neutral",1,-2)))+IF(E78="Significant",2,IF(E78="Directional",1,IF(E78="Mixed",0,-1)))+IF(G78="High",2,IF(G78="Moderate",1,0))+IF(H78="Yes",-2,0)+IF(I78="High",-2,IF(I78="Moderate",-1,0))+IF(K78="Positive",2,IF(K78="Mixed",0,IF(K78="Negative",-2,0))))</x:f>
        <x:v>-3</x:v>
      </x:c>
    </x:row>
    <x:row r="79">
      <x:c r="L79" s="168" t="n">
        <x:f>IF(M79="No","",+IF(D79="Dominant",5,IF(D79="Supporting",3,IF(D79="Neutral",1,-2)))+IF(E79="Significant",2,IF(E79="Directional",1,IF(E79="Mixed",0,-1)))+IF(G79="High",2,IF(G79="Moderate",1,0))+IF(H79="Yes",-2,0)+IF(I79="High",-2,IF(I79="Moderate",-1,0))+IF(K79="Positive",2,IF(K79="Mixed",0,IF(K79="Negative",-2,0))))</x:f>
        <x:v>-3</x:v>
      </x:c>
    </x:row>
    <x:row r="80">
      <x:c r="L80" s="168" t="n">
        <x:f>IF(M80="No","",+IF(D80="Dominant",5,IF(D80="Supporting",3,IF(D80="Neutral",1,-2)))+IF(E80="Significant",2,IF(E80="Directional",1,IF(E80="Mixed",0,-1)))+IF(G80="High",2,IF(G80="Moderate",1,0))+IF(H80="Yes",-2,0)+IF(I80="High",-2,IF(I80="Moderate",-1,0))+IF(K80="Positive",2,IF(K80="Mixed",0,IF(K80="Negative",-2,0))))</x:f>
        <x:v>-3</x:v>
      </x:c>
    </x:row>
    <x:row r="81">
      <x:c r="L81" s="168" t="n">
        <x:f>IF(M81="No","",+IF(D81="Dominant",5,IF(D81="Supporting",3,IF(D81="Neutral",1,-2)))+IF(E81="Significant",2,IF(E81="Directional",1,IF(E81="Mixed",0,-1)))+IF(G81="High",2,IF(G81="Moderate",1,0))+IF(H81="Yes",-2,0)+IF(I81="High",-2,IF(I81="Moderate",-1,0))+IF(K81="Positive",2,IF(K81="Mixed",0,IF(K81="Negative",-2,0))))</x:f>
        <x:v>-3</x:v>
      </x:c>
    </x:row>
    <x:row r="82">
      <x:c r="L82" s="168" t="n">
        <x:f>IF(M82="No","",+IF(D82="Dominant",5,IF(D82="Supporting",3,IF(D82="Neutral",1,-2)))+IF(E82="Significant",2,IF(E82="Directional",1,IF(E82="Mixed",0,-1)))+IF(G82="High",2,IF(G82="Moderate",1,0))+IF(H82="Yes",-2,0)+IF(I82="High",-2,IF(I82="Moderate",-1,0))+IF(K82="Positive",2,IF(K82="Mixed",0,IF(K82="Negative",-2,0))))</x:f>
        <x:v>-3</x:v>
      </x:c>
    </x:row>
    <x:row r="83">
      <x:c r="L83" s="168" t="n">
        <x:f>IF(M83="No","",+IF(D83="Dominant",5,IF(D83="Supporting",3,IF(D83="Neutral",1,-2)))+IF(E83="Significant",2,IF(E83="Directional",1,IF(E83="Mixed",0,-1)))+IF(G83="High",2,IF(G83="Moderate",1,0))+IF(H83="Yes",-2,0)+IF(I83="High",-2,IF(I83="Moderate",-1,0))+IF(K83="Positive",2,IF(K83="Mixed",0,IF(K83="Negative",-2,0))))</x:f>
        <x:v>-3</x:v>
      </x:c>
    </x:row>
    <x:row r="84">
      <x:c r="L84" s="168" t="n">
        <x:f>IF(M84="No","",+IF(D84="Dominant",5,IF(D84="Supporting",3,IF(D84="Neutral",1,-2)))+IF(E84="Significant",2,IF(E84="Directional",1,IF(E84="Mixed",0,-1)))+IF(G84="High",2,IF(G84="Moderate",1,0))+IF(H84="Yes",-2,0)+IF(I84="High",-2,IF(I84="Moderate",-1,0))+IF(K84="Positive",2,IF(K84="Mixed",0,IF(K84="Negative",-2,0))))</x:f>
        <x:v>-3</x:v>
      </x:c>
    </x:row>
    <x:row r="85">
      <x:c r="L85" s="168" t="n">
        <x:f>IF(M85="No","",+IF(D85="Dominant",5,IF(D85="Supporting",3,IF(D85="Neutral",1,-2)))+IF(E85="Significant",2,IF(E85="Directional",1,IF(E85="Mixed",0,-1)))+IF(G85="High",2,IF(G85="Moderate",1,0))+IF(H85="Yes",-2,0)+IF(I85="High",-2,IF(I85="Moderate",-1,0))+IF(K85="Positive",2,IF(K85="Mixed",0,IF(K85="Negative",-2,0))))</x:f>
        <x:v>-3</x:v>
      </x:c>
    </x:row>
    <x:row r="86">
      <x:c r="L86" s="168" t="n">
        <x:f>IF(M86="No","",+IF(D86="Dominant",5,IF(D86="Supporting",3,IF(D86="Neutral",1,-2)))+IF(E86="Significant",2,IF(E86="Directional",1,IF(E86="Mixed",0,-1)))+IF(G86="High",2,IF(G86="Moderate",1,0))+IF(H86="Yes",-2,0)+IF(I86="High",-2,IF(I86="Moderate",-1,0))+IF(K86="Positive",2,IF(K86="Mixed",0,IF(K86="Negative",-2,0))))</x:f>
        <x:v>-3</x:v>
      </x:c>
    </x:row>
    <x:row r="87">
      <x:c r="L87" s="168" t="n">
        <x:f>IF(M87="No","",+IF(D87="Dominant",5,IF(D87="Supporting",3,IF(D87="Neutral",1,-2)))+IF(E87="Significant",2,IF(E87="Directional",1,IF(E87="Mixed",0,-1)))+IF(G87="High",2,IF(G87="Moderate",1,0))+IF(H87="Yes",-2,0)+IF(I87="High",-2,IF(I87="Moderate",-1,0))+IF(K87="Positive",2,IF(K87="Mixed",0,IF(K87="Negative",-2,0))))</x:f>
        <x:v>-3</x:v>
      </x:c>
    </x:row>
    <x:row r="88">
      <x:c r="L88" s="168" t="n">
        <x:f>IF(M88="No","",+IF(D88="Dominant",5,IF(D88="Supporting",3,IF(D88="Neutral",1,-2)))+IF(E88="Significant",2,IF(E88="Directional",1,IF(E88="Mixed",0,-1)))+IF(G88="High",2,IF(G88="Moderate",1,0))+IF(H88="Yes",-2,0)+IF(I88="High",-2,IF(I88="Moderate",-1,0))+IF(K88="Positive",2,IF(K88="Mixed",0,IF(K88="Negative",-2,0))))</x:f>
        <x:v>-3</x:v>
      </x:c>
    </x:row>
    <x:row r="89">
      <x:c r="L89" s="168" t="n">
        <x:f>IF(M89="No","",+IF(D89="Dominant",5,IF(D89="Supporting",3,IF(D89="Neutral",1,-2)))+IF(E89="Significant",2,IF(E89="Directional",1,IF(E89="Mixed",0,-1)))+IF(G89="High",2,IF(G89="Moderate",1,0))+IF(H89="Yes",-2,0)+IF(I89="High",-2,IF(I89="Moderate",-1,0))+IF(K89="Positive",2,IF(K89="Mixed",0,IF(K89="Negative",-2,0))))</x:f>
        <x:v>-3</x:v>
      </x:c>
    </x:row>
    <x:row r="90">
      <x:c r="L90" s="168" t="n">
        <x:f>IF(M90="No","",+IF(D90="Dominant",5,IF(D90="Supporting",3,IF(D90="Neutral",1,-2)))+IF(E90="Significant",2,IF(E90="Directional",1,IF(E90="Mixed",0,-1)))+IF(G90="High",2,IF(G90="Moderate",1,0))+IF(H90="Yes",-2,0)+IF(I90="High",-2,IF(I90="Moderate",-1,0))+IF(K90="Positive",2,IF(K90="Mixed",0,IF(K90="Negative",-2,0))))</x:f>
        <x:v>-3</x:v>
      </x:c>
    </x:row>
    <x:row r="91">
      <x:c r="L91" s="168" t="n">
        <x:f>IF(M91="No","",+IF(D91="Dominant",5,IF(D91="Supporting",3,IF(D91="Neutral",1,-2)))+IF(E91="Significant",2,IF(E91="Directional",1,IF(E91="Mixed",0,-1)))+IF(G91="High",2,IF(G91="Moderate",1,0))+IF(H91="Yes",-2,0)+IF(I91="High",-2,IF(I91="Moderate",-1,0))+IF(K91="Positive",2,IF(K91="Mixed",0,IF(K91="Negative",-2,0))))</x:f>
        <x:v>-3</x:v>
      </x:c>
    </x:row>
    <x:row r="92">
      <x:c r="L92" s="168" t="n">
        <x:f>IF(M92="No","",+IF(D92="Dominant",5,IF(D92="Supporting",3,IF(D92="Neutral",1,-2)))+IF(E92="Significant",2,IF(E92="Directional",1,IF(E92="Mixed",0,-1)))+IF(G92="High",2,IF(G92="Moderate",1,0))+IF(H92="Yes",-2,0)+IF(I92="High",-2,IF(I92="Moderate",-1,0))+IF(K92="Positive",2,IF(K92="Mixed",0,IF(K92="Negative",-2,0))))</x:f>
        <x:v>-3</x:v>
      </x:c>
    </x:row>
    <x:row r="93">
      <x:c r="L93" s="168" t="n">
        <x:f>IF(M93="No","",+IF(D93="Dominant",5,IF(D93="Supporting",3,IF(D93="Neutral",1,-2)))+IF(E93="Significant",2,IF(E93="Directional",1,IF(E93="Mixed",0,-1)))+IF(G93="High",2,IF(G93="Moderate",1,0))+IF(H93="Yes",-2,0)+IF(I93="High",-2,IF(I93="Moderate",-1,0))+IF(K93="Positive",2,IF(K93="Mixed",0,IF(K93="Negative",-2,0))))</x:f>
        <x:v>-3</x:v>
      </x:c>
    </x:row>
    <x:row r="94">
      <x:c r="L94" s="168" t="n">
        <x:f>IF(M94="No","",+IF(D94="Dominant",5,IF(D94="Supporting",3,IF(D94="Neutral",1,-2)))+IF(E94="Significant",2,IF(E94="Directional",1,IF(E94="Mixed",0,-1)))+IF(G94="High",2,IF(G94="Moderate",1,0))+IF(H94="Yes",-2,0)+IF(I94="High",-2,IF(I94="Moderate",-1,0))+IF(K94="Positive",2,IF(K94="Mixed",0,IF(K94="Negative",-2,0))))</x:f>
        <x:v>-3</x:v>
      </x:c>
    </x:row>
    <x:row r="95">
      <x:c r="L95" s="168" t="n">
        <x:f>IF(M95="No","",+IF(D95="Dominant",5,IF(D95="Supporting",3,IF(D95="Neutral",1,-2)))+IF(E95="Significant",2,IF(E95="Directional",1,IF(E95="Mixed",0,-1)))+IF(G95="High",2,IF(G95="Moderate",1,0))+IF(H95="Yes",-2,0)+IF(I95="High",-2,IF(I95="Moderate",-1,0))+IF(K95="Positive",2,IF(K95="Mixed",0,IF(K95="Negative",-2,0))))</x:f>
        <x:v>-3</x:v>
      </x:c>
    </x:row>
    <x:row r="96">
      <x:c r="L96" s="168" t="n">
        <x:f>IF(M96="No","",+IF(D96="Dominant",5,IF(D96="Supporting",3,IF(D96="Neutral",1,-2)))+IF(E96="Significant",2,IF(E96="Directional",1,IF(E96="Mixed",0,-1)))+IF(G96="High",2,IF(G96="Moderate",1,0))+IF(H96="Yes",-2,0)+IF(I96="High",-2,IF(I96="Moderate",-1,0))+IF(K96="Positive",2,IF(K96="Mixed",0,IF(K96="Negative",-2,0))))</x:f>
        <x:v>-3</x:v>
      </x:c>
    </x:row>
    <x:row r="97">
      <x:c r="L97" s="168" t="n">
        <x:f>IF(M97="No","",+IF(D97="Dominant",5,IF(D97="Supporting",3,IF(D97="Neutral",1,-2)))+IF(E97="Significant",2,IF(E97="Directional",1,IF(E97="Mixed",0,-1)))+IF(G97="High",2,IF(G97="Moderate",1,0))+IF(H97="Yes",-2,0)+IF(I97="High",-2,IF(I97="Moderate",-1,0))+IF(K97="Positive",2,IF(K97="Mixed",0,IF(K97="Negative",-2,0))))</x:f>
        <x:v>-3</x:v>
      </x:c>
    </x:row>
    <x:row r="98">
      <x:c r="L98" s="168" t="n">
        <x:f>IF(M98="No","",+IF(D98="Dominant",5,IF(D98="Supporting",3,IF(D98="Neutral",1,-2)))+IF(E98="Significant",2,IF(E98="Directional",1,IF(E98="Mixed",0,-1)))+IF(G98="High",2,IF(G98="Moderate",1,0))+IF(H98="Yes",-2,0)+IF(I98="High",-2,IF(I98="Moderate",-1,0))+IF(K98="Positive",2,IF(K98="Mixed",0,IF(K98="Negative",-2,0))))</x:f>
        <x:v>-3</x:v>
      </x:c>
    </x:row>
    <x:row r="99">
      <x:c r="L99" s="168" t="n">
        <x:f>IF(M99="No","",+IF(D99="Dominant",5,IF(D99="Supporting",3,IF(D99="Neutral",1,-2)))+IF(E99="Significant",2,IF(E99="Directional",1,IF(E99="Mixed",0,-1)))+IF(G99="High",2,IF(G99="Moderate",1,0))+IF(H99="Yes",-2,0)+IF(I99="High",-2,IF(I99="Moderate",-1,0))+IF(K99="Positive",2,IF(K99="Mixed",0,IF(K99="Negative",-2,0))))</x:f>
        <x:v>-3</x:v>
      </x:c>
    </x:row>
    <x:row r="100">
      <x:c r="L100" s="168" t="n">
        <x:f>IF(M100="No","",+IF(D100="Dominant",5,IF(D100="Supporting",3,IF(D100="Neutral",1,-2)))+IF(E100="Significant",2,IF(E100="Directional",1,IF(E100="Mixed",0,-1)))+IF(G100="High",2,IF(G100="Moderate",1,0))+IF(H100="Yes",-2,0)+IF(I100="High",-2,IF(I100="Moderate",-1,0))+IF(K100="Positive",2,IF(K100="Mixed",0,IF(K100="Negative",-2,0))))</x:f>
        <x:v>-3</x:v>
      </x:c>
    </x:row>
    <x:row r="101">
      <x:c r="L101" s="168" t="n">
        <x:f>IF(M101="No","",+IF(D101="Dominant",5,IF(D101="Supporting",3,IF(D101="Neutral",1,-2)))+IF(E101="Significant",2,IF(E101="Directional",1,IF(E101="Mixed",0,-1)))+IF(G101="High",2,IF(G101="Moderate",1,0))+IF(H101="Yes",-2,0)+IF(I101="High",-2,IF(I101="Moderate",-1,0))+IF(K101="Positive",2,IF(K101="Mixed",0,IF(K101="Negative",-2,0))))</x:f>
        <x:v>-3</x:v>
      </x:c>
    </x:row>
    <x:row r="102">
      <x:c r="L102" s="168" t="n">
        <x:f>IF(M102="No","",+IF(D102="Dominant",5,IF(D102="Supporting",3,IF(D102="Neutral",1,-2)))+IF(E102="Significant",2,IF(E102="Directional",1,IF(E102="Mixed",0,-1)))+IF(G102="High",2,IF(G102="Moderate",1,0))+IF(H102="Yes",-2,0)+IF(I102="High",-2,IF(I102="Moderate",-1,0))+IF(K102="Positive",2,IF(K102="Mixed",0,IF(K102="Negative",-2,0))))</x:f>
        <x:v>-3</x:v>
      </x:c>
    </x:row>
    <x:row r="103">
      <x:c r="L103" s="168" t="n">
        <x:f>IF(M103="No","",+IF(D103="Dominant",5,IF(D103="Supporting",3,IF(D103="Neutral",1,-2)))+IF(E103="Significant",2,IF(E103="Directional",1,IF(E103="Mixed",0,-1)))+IF(G103="High",2,IF(G103="Moderate",1,0))+IF(H103="Yes",-2,0)+IF(I103="High",-2,IF(I103="Moderate",-1,0))+IF(K103="Positive",2,IF(K103="Mixed",0,IF(K103="Negative",-2,0))))</x:f>
        <x:v>-3</x:v>
      </x:c>
    </x:row>
    <x:row r="104">
      <x:c r="L104" s="168" t="n">
        <x:f>IF(M104="No","",+IF(D104="Dominant",5,IF(D104="Supporting",3,IF(D104="Neutral",1,-2)))+IF(E104="Significant",2,IF(E104="Directional",1,IF(E104="Mixed",0,-1)))+IF(G104="High",2,IF(G104="Moderate",1,0))+IF(H104="Yes",-2,0)+IF(I104="High",-2,IF(I104="Moderate",-1,0))+IF(K104="Positive",2,IF(K104="Mixed",0,IF(K104="Negative",-2,0))))</x:f>
        <x:v>-3</x:v>
      </x:c>
    </x:row>
    <x:row r="105">
      <x:c r="L105" s="168" t="n">
        <x:f>IF(M105="No","",+IF(D105="Dominant",5,IF(D105="Supporting",3,IF(D105="Neutral",1,-2)))+IF(E105="Significant",2,IF(E105="Directional",1,IF(E105="Mixed",0,-1)))+IF(G105="High",2,IF(G105="Moderate",1,0))+IF(H105="Yes",-2,0)+IF(I105="High",-2,IF(I105="Moderate",-1,0))+IF(K105="Positive",2,IF(K105="Mixed",0,IF(K105="Negative",-2,0))))</x:f>
        <x:v>-3</x:v>
      </x:c>
    </x:row>
    <x:row r="106">
      <x:c r="L106" s="168" t="n">
        <x:f>IF(M106="No","",+IF(D106="Dominant",5,IF(D106="Supporting",3,IF(D106="Neutral",1,-2)))+IF(E106="Significant",2,IF(E106="Directional",1,IF(E106="Mixed",0,-1)))+IF(G106="High",2,IF(G106="Moderate",1,0))+IF(H106="Yes",-2,0)+IF(I106="High",-2,IF(I106="Moderate",-1,0))+IF(K106="Positive",2,IF(K106="Mixed",0,IF(K106="Negative",-2,0))))</x:f>
        <x:v>-3</x:v>
      </x:c>
    </x:row>
    <x:row r="107">
      <x:c r="L107" s="168" t="n">
        <x:f>IF(M107="No","",+IF(D107="Dominant",5,IF(D107="Supporting",3,IF(D107="Neutral",1,-2)))+IF(E107="Significant",2,IF(E107="Directional",1,IF(E107="Mixed",0,-1)))+IF(G107="High",2,IF(G107="Moderate",1,0))+IF(H107="Yes",-2,0)+IF(I107="High",-2,IF(I107="Moderate",-1,0))+IF(K107="Positive",2,IF(K107="Mixed",0,IF(K107="Negative",-2,0))))</x:f>
        <x:v>-3</x:v>
      </x:c>
    </x:row>
    <x:row r="108">
      <x:c r="L108" s="168" t="n">
        <x:f>IF(M108="No","",+IF(D108="Dominant",5,IF(D108="Supporting",3,IF(D108="Neutral",1,-2)))+IF(E108="Significant",2,IF(E108="Directional",1,IF(E108="Mixed",0,-1)))+IF(G108="High",2,IF(G108="Moderate",1,0))+IF(H108="Yes",-2,0)+IF(I108="High",-2,IF(I108="Moderate",-1,0))+IF(K108="Positive",2,IF(K108="Mixed",0,IF(K108="Negative",-2,0))))</x:f>
        <x:v>-3</x:v>
      </x:c>
    </x:row>
    <x:row r="109">
      <x:c r="L109" s="168" t="n">
        <x:f>IF(M109="No","",+IF(D109="Dominant",5,IF(D109="Supporting",3,IF(D109="Neutral",1,-2)))+IF(E109="Significant",2,IF(E109="Directional",1,IF(E109="Mixed",0,-1)))+IF(G109="High",2,IF(G109="Moderate",1,0))+IF(H109="Yes",-2,0)+IF(I109="High",-2,IF(I109="Moderate",-1,0))+IF(K109="Positive",2,IF(K109="Mixed",0,IF(K109="Negative",-2,0))))</x:f>
        <x:v>-3</x:v>
      </x:c>
    </x:row>
    <x:row r="110">
      <x:c r="L110" s="168" t="n">
        <x:f>IF(M110="No","",+IF(D110="Dominant",5,IF(D110="Supporting",3,IF(D110="Neutral",1,-2)))+IF(E110="Significant",2,IF(E110="Directional",1,IF(E110="Mixed",0,-1)))+IF(G110="High",2,IF(G110="Moderate",1,0))+IF(H110="Yes",-2,0)+IF(I110="High",-2,IF(I110="Moderate",-1,0))+IF(K110="Positive",2,IF(K110="Mixed",0,IF(K110="Negative",-2,0))))</x:f>
        <x:v>-3</x:v>
      </x:c>
    </x:row>
    <x:row r="111">
      <x:c r="L111" s="168" t="n">
        <x:f>IF(M111="No","",+IF(D111="Dominant",5,IF(D111="Supporting",3,IF(D111="Neutral",1,-2)))+IF(E111="Significant",2,IF(E111="Directional",1,IF(E111="Mixed",0,-1)))+IF(G111="High",2,IF(G111="Moderate",1,0))+IF(H111="Yes",-2,0)+IF(I111="High",-2,IF(I111="Moderate",-1,0))+IF(K111="Positive",2,IF(K111="Mixed",0,IF(K111="Negative",-2,0))))</x:f>
        <x:v>-3</x:v>
      </x:c>
    </x:row>
    <x:row r="112">
      <x:c r="L112" s="168" t="n">
        <x:f>IF(M112="No","",+IF(D112="Dominant",5,IF(D112="Supporting",3,IF(D112="Neutral",1,-2)))+IF(E112="Significant",2,IF(E112="Directional",1,IF(E112="Mixed",0,-1)))+IF(G112="High",2,IF(G112="Moderate",1,0))+IF(H112="Yes",-2,0)+IF(I112="High",-2,IF(I112="Moderate",-1,0))+IF(K112="Positive",2,IF(K112="Mixed",0,IF(K112="Negative",-2,0))))</x:f>
        <x:v>-3</x:v>
      </x:c>
    </x:row>
    <x:row r="113">
      <x:c r="L113" s="168" t="n">
        <x:f>IF(M113="No","",+IF(D113="Dominant",5,IF(D113="Supporting",3,IF(D113="Neutral",1,-2)))+IF(E113="Significant",2,IF(E113="Directional",1,IF(E113="Mixed",0,-1)))+IF(G113="High",2,IF(G113="Moderate",1,0))+IF(H113="Yes",-2,0)+IF(I113="High",-2,IF(I113="Moderate",-1,0))+IF(K113="Positive",2,IF(K113="Mixed",0,IF(K113="Negative",-2,0))))</x:f>
        <x:v>-3</x:v>
      </x:c>
    </x:row>
    <x:row r="114">
      <x:c r="L114" s="168" t="n">
        <x:f>IF(M114="No","",+IF(D114="Dominant",5,IF(D114="Supporting",3,IF(D114="Neutral",1,-2)))+IF(E114="Significant",2,IF(E114="Directional",1,IF(E114="Mixed",0,-1)))+IF(G114="High",2,IF(G114="Moderate",1,0))+IF(H114="Yes",-2,0)+IF(I114="High",-2,IF(I114="Moderate",-1,0))+IF(K114="Positive",2,IF(K114="Mixed",0,IF(K114="Negative",-2,0))))</x:f>
        <x:v>-3</x:v>
      </x:c>
    </x:row>
    <x:row r="115">
      <x:c r="L115" s="168" t="n">
        <x:f>IF(M115="No","",+IF(D115="Dominant",5,IF(D115="Supporting",3,IF(D115="Neutral",1,-2)))+IF(E115="Significant",2,IF(E115="Directional",1,IF(E115="Mixed",0,-1)))+IF(G115="High",2,IF(G115="Moderate",1,0))+IF(H115="Yes",-2,0)+IF(I115="High",-2,IF(I115="Moderate",-1,0))+IF(K115="Positive",2,IF(K115="Mixed",0,IF(K115="Negative",-2,0))))</x:f>
        <x:v>-3</x:v>
      </x:c>
    </x:row>
    <x:row r="116">
      <x:c r="L116" s="168" t="n">
        <x:f>IF(M116="No","",+IF(D116="Dominant",5,IF(D116="Supporting",3,IF(D116="Neutral",1,-2)))+IF(E116="Significant",2,IF(E116="Directional",1,IF(E116="Mixed",0,-1)))+IF(G116="High",2,IF(G116="Moderate",1,0))+IF(H116="Yes",-2,0)+IF(I116="High",-2,IF(I116="Moderate",-1,0))+IF(K116="Positive",2,IF(K116="Mixed",0,IF(K116="Negative",-2,0))))</x:f>
        <x:v>-3</x:v>
      </x:c>
    </x:row>
    <x:row r="117">
      <x:c r="L117" s="168" t="n">
        <x:f>IF(M117="No","",+IF(D117="Dominant",5,IF(D117="Supporting",3,IF(D117="Neutral",1,-2)))+IF(E117="Significant",2,IF(E117="Directional",1,IF(E117="Mixed",0,-1)))+IF(G117="High",2,IF(G117="Moderate",1,0))+IF(H117="Yes",-2,0)+IF(I117="High",-2,IF(I117="Moderate",-1,0))+IF(K117="Positive",2,IF(K117="Mixed",0,IF(K117="Negative",-2,0))))</x:f>
        <x:v>-3</x:v>
      </x:c>
    </x:row>
    <x:row r="118">
      <x:c r="L118" s="168" t="n">
        <x:f>IF(M118="No","",+IF(D118="Dominant",5,IF(D118="Supporting",3,IF(D118="Neutral",1,-2)))+IF(E118="Significant",2,IF(E118="Directional",1,IF(E118="Mixed",0,-1)))+IF(G118="High",2,IF(G118="Moderate",1,0))+IF(H118="Yes",-2,0)+IF(I118="High",-2,IF(I118="Moderate",-1,0))+IF(K118="Positive",2,IF(K118="Mixed",0,IF(K118="Negative",-2,0))))</x:f>
        <x:v>-3</x:v>
      </x:c>
    </x:row>
    <x:row r="119">
      <x:c r="L119" s="168" t="n">
        <x:f>IF(M119="No","",+IF(D119="Dominant",5,IF(D119="Supporting",3,IF(D119="Neutral",1,-2)))+IF(E119="Significant",2,IF(E119="Directional",1,IF(E119="Mixed",0,-1)))+IF(G119="High",2,IF(G119="Moderate",1,0))+IF(H119="Yes",-2,0)+IF(I119="High",-2,IF(I119="Moderate",-1,0))+IF(K119="Positive",2,IF(K119="Mixed",0,IF(K119="Negative",-2,0))))</x:f>
        <x:v>-3</x:v>
      </x:c>
    </x:row>
    <x:row r="120">
      <x:c r="L120" s="168" t="n">
        <x:f>IF(M120="No","",+IF(D120="Dominant",5,IF(D120="Supporting",3,IF(D120="Neutral",1,-2)))+IF(E120="Significant",2,IF(E120="Directional",1,IF(E120="Mixed",0,-1)))+IF(G120="High",2,IF(G120="Moderate",1,0))+IF(H120="Yes",-2,0)+IF(I120="High",-2,IF(I120="Moderate",-1,0))+IF(K120="Positive",2,IF(K120="Mixed",0,IF(K120="Negative",-2,0))))</x:f>
        <x:v>-3</x:v>
      </x:c>
    </x:row>
    <x:row r="121">
      <x:c r="L121" s="168" t="n">
        <x:f>IF(M121="No","",+IF(D121="Dominant",5,IF(D121="Supporting",3,IF(D121="Neutral",1,-2)))+IF(E121="Significant",2,IF(E121="Directional",1,IF(E121="Mixed",0,-1)))+IF(G121="High",2,IF(G121="Moderate",1,0))+IF(H121="Yes",-2,0)+IF(I121="High",-2,IF(I121="Moderate",-1,0))+IF(K121="Positive",2,IF(K121="Mixed",0,IF(K121="Negative",-2,0))))</x:f>
        <x:v>-3</x:v>
      </x:c>
    </x:row>
    <x:row r="122">
      <x:c r="L122" s="168" t="n">
        <x:f>IF(M122="No","",+IF(D122="Dominant",5,IF(D122="Supporting",3,IF(D122="Neutral",1,-2)))+IF(E122="Significant",2,IF(E122="Directional",1,IF(E122="Mixed",0,-1)))+IF(G122="High",2,IF(G122="Moderate",1,0))+IF(H122="Yes",-2,0)+IF(I122="High",-2,IF(I122="Moderate",-1,0))+IF(K122="Positive",2,IF(K122="Mixed",0,IF(K122="Negative",-2,0))))</x:f>
        <x:v>-3</x:v>
      </x:c>
    </x:row>
    <x:row r="123">
      <x:c r="L123" s="168" t="n">
        <x:f>IF(M123="No","",+IF(D123="Dominant",5,IF(D123="Supporting",3,IF(D123="Neutral",1,-2)))+IF(E123="Significant",2,IF(E123="Directional",1,IF(E123="Mixed",0,-1)))+IF(G123="High",2,IF(G123="Moderate",1,0))+IF(H123="Yes",-2,0)+IF(I123="High",-2,IF(I123="Moderate",-1,0))+IF(K123="Positive",2,IF(K123="Mixed",0,IF(K123="Negative",-2,0))))</x:f>
        <x:v>-3</x:v>
      </x:c>
    </x:row>
    <x:row r="124">
      <x:c r="L124" s="168" t="n">
        <x:f>IF(M124="No","",+IF(D124="Dominant",5,IF(D124="Supporting",3,IF(D124="Neutral",1,-2)))+IF(E124="Significant",2,IF(E124="Directional",1,IF(E124="Mixed",0,-1)))+IF(G124="High",2,IF(G124="Moderate",1,0))+IF(H124="Yes",-2,0)+IF(I124="High",-2,IF(I124="Moderate",-1,0))+IF(K124="Positive",2,IF(K124="Mixed",0,IF(K124="Negative",-2,0))))</x:f>
        <x:v>-3</x:v>
      </x:c>
    </x:row>
    <x:row r="125">
      <x:c r="L125" s="168" t="n">
        <x:f>IF(M125="No","",+IF(D125="Dominant",5,IF(D125="Supporting",3,IF(D125="Neutral",1,-2)))+IF(E125="Significant",2,IF(E125="Directional",1,IF(E125="Mixed",0,-1)))+IF(G125="High",2,IF(G125="Moderate",1,0))+IF(H125="Yes",-2,0)+IF(I125="High",-2,IF(I125="Moderate",-1,0))+IF(K125="Positive",2,IF(K125="Mixed",0,IF(K125="Negative",-2,0))))</x:f>
        <x:v>-3</x:v>
      </x:c>
    </x:row>
    <x:row r="126">
      <x:c r="L126" s="168" t="n">
        <x:f>IF(M126="No","",+IF(D126="Dominant",5,IF(D126="Supporting",3,IF(D126="Neutral",1,-2)))+IF(E126="Significant",2,IF(E126="Directional",1,IF(E126="Mixed",0,-1)))+IF(G126="High",2,IF(G126="Moderate",1,0))+IF(H126="Yes",-2,0)+IF(I126="High",-2,IF(I126="Moderate",-1,0))+IF(K126="Positive",2,IF(K126="Mixed",0,IF(K126="Negative",-2,0))))</x:f>
        <x:v>-3</x:v>
      </x:c>
    </x:row>
    <x:row r="127">
      <x:c r="L127" s="168" t="n">
        <x:f>IF(M127="No","",+IF(D127="Dominant",5,IF(D127="Supporting",3,IF(D127="Neutral",1,-2)))+IF(E127="Significant",2,IF(E127="Directional",1,IF(E127="Mixed",0,-1)))+IF(G127="High",2,IF(G127="Moderate",1,0))+IF(H127="Yes",-2,0)+IF(I127="High",-2,IF(I127="Moderate",-1,0))+IF(K127="Positive",2,IF(K127="Mixed",0,IF(K127="Negative",-2,0))))</x:f>
        <x:v>-3</x:v>
      </x:c>
    </x:row>
    <x:row r="128">
      <x:c r="L128" s="168" t="n">
        <x:f>IF(M128="No","",+IF(D128="Dominant",5,IF(D128="Supporting",3,IF(D128="Neutral",1,-2)))+IF(E128="Significant",2,IF(E128="Directional",1,IF(E128="Mixed",0,-1)))+IF(G128="High",2,IF(G128="Moderate",1,0))+IF(H128="Yes",-2,0)+IF(I128="High",-2,IF(I128="Moderate",-1,0))+IF(K128="Positive",2,IF(K128="Mixed",0,IF(K128="Negative",-2,0))))</x:f>
        <x:v>-3</x:v>
      </x:c>
    </x:row>
    <x:row r="129">
      <x:c r="L129" s="168" t="n">
        <x:f>IF(M129="No","",+IF(D129="Dominant",5,IF(D129="Supporting",3,IF(D129="Neutral",1,-2)))+IF(E129="Significant",2,IF(E129="Directional",1,IF(E129="Mixed",0,-1)))+IF(G129="High",2,IF(G129="Moderate",1,0))+IF(H129="Yes",-2,0)+IF(I129="High",-2,IF(I129="Moderate",-1,0))+IF(K129="Positive",2,IF(K129="Mixed",0,IF(K129="Negative",-2,0))))</x:f>
        <x:v>-3</x:v>
      </x:c>
    </x:row>
    <x:row r="130">
      <x:c r="L130" s="168" t="n">
        <x:f>IF(M130="No","",+IF(D130="Dominant",5,IF(D130="Supporting",3,IF(D130="Neutral",1,-2)))+IF(E130="Significant",2,IF(E130="Directional",1,IF(E130="Mixed",0,-1)))+IF(G130="High",2,IF(G130="Moderate",1,0))+IF(H130="Yes",-2,0)+IF(I130="High",-2,IF(I130="Moderate",-1,0))+IF(K130="Positive",2,IF(K130="Mixed",0,IF(K130="Negative",-2,0))))</x:f>
        <x:v>-3</x:v>
      </x:c>
    </x:row>
    <x:row r="131">
      <x:c r="L131" s="168" t="n">
        <x:f>IF(M131="No","",+IF(D131="Dominant",5,IF(D131="Supporting",3,IF(D131="Neutral",1,-2)))+IF(E131="Significant",2,IF(E131="Directional",1,IF(E131="Mixed",0,-1)))+IF(G131="High",2,IF(G131="Moderate",1,0))+IF(H131="Yes",-2,0)+IF(I131="High",-2,IF(I131="Moderate",-1,0))+IF(K131="Positive",2,IF(K131="Mixed",0,IF(K131="Negative",-2,0))))</x:f>
        <x:v>-3</x:v>
      </x:c>
    </x:row>
    <x:row r="132">
      <x:c r="L132" s="168" t="n">
        <x:f>IF(M132="No","",+IF(D132="Dominant",5,IF(D132="Supporting",3,IF(D132="Neutral",1,-2)))+IF(E132="Significant",2,IF(E132="Directional",1,IF(E132="Mixed",0,-1)))+IF(G132="High",2,IF(G132="Moderate",1,0))+IF(H132="Yes",-2,0)+IF(I132="High",-2,IF(I132="Moderate",-1,0))+IF(K132="Positive",2,IF(K132="Mixed",0,IF(K132="Negative",-2,0))))</x:f>
        <x:v>-3</x:v>
      </x:c>
    </x:row>
    <x:row r="133">
      <x:c r="L133" s="168" t="n">
        <x:f>IF(M133="No","",+IF(D133="Dominant",5,IF(D133="Supporting",3,IF(D133="Neutral",1,-2)))+IF(E133="Significant",2,IF(E133="Directional",1,IF(E133="Mixed",0,-1)))+IF(G133="High",2,IF(G133="Moderate",1,0))+IF(H133="Yes",-2,0)+IF(I133="High",-2,IF(I133="Moderate",-1,0))+IF(K133="Positive",2,IF(K133="Mixed",0,IF(K133="Negative",-2,0))))</x:f>
        <x:v>-3</x:v>
      </x:c>
    </x:row>
    <x:row r="134">
      <x:c r="L134" s="168" t="n">
        <x:f>IF(M134="No","",+IF(D134="Dominant",5,IF(D134="Supporting",3,IF(D134="Neutral",1,-2)))+IF(E134="Significant",2,IF(E134="Directional",1,IF(E134="Mixed",0,-1)))+IF(G134="High",2,IF(G134="Moderate",1,0))+IF(H134="Yes",-2,0)+IF(I134="High",-2,IF(I134="Moderate",-1,0))+IF(K134="Positive",2,IF(K134="Mixed",0,IF(K134="Negative",-2,0))))</x:f>
        <x:v>-3</x:v>
      </x:c>
    </x:row>
    <x:row r="135">
      <x:c r="L135" s="168" t="n">
        <x:f>IF(M135="No","",+IF(D135="Dominant",5,IF(D135="Supporting",3,IF(D135="Neutral",1,-2)))+IF(E135="Significant",2,IF(E135="Directional",1,IF(E135="Mixed",0,-1)))+IF(G135="High",2,IF(G135="Moderate",1,0))+IF(H135="Yes",-2,0)+IF(I135="High",-2,IF(I135="Moderate",-1,0))+IF(K135="Positive",2,IF(K135="Mixed",0,IF(K135="Negative",-2,0))))</x:f>
        <x:v>-3</x:v>
      </x:c>
    </x:row>
    <x:row r="136">
      <x:c r="L136" s="168" t="n">
        <x:f>IF(M136="No","",+IF(D136="Dominant",5,IF(D136="Supporting",3,IF(D136="Neutral",1,-2)))+IF(E136="Significant",2,IF(E136="Directional",1,IF(E136="Mixed",0,-1)))+IF(G136="High",2,IF(G136="Moderate",1,0))+IF(H136="Yes",-2,0)+IF(I136="High",-2,IF(I136="Moderate",-1,0))+IF(K136="Positive",2,IF(K136="Mixed",0,IF(K136="Negative",-2,0))))</x:f>
        <x:v>-3</x:v>
      </x:c>
    </x:row>
    <x:row r="137">
      <x:c r="L137" s="168" t="n">
        <x:f>IF(M137="No","",+IF(D137="Dominant",5,IF(D137="Supporting",3,IF(D137="Neutral",1,-2)))+IF(E137="Significant",2,IF(E137="Directional",1,IF(E137="Mixed",0,-1)))+IF(G137="High",2,IF(G137="Moderate",1,0))+IF(H137="Yes",-2,0)+IF(I137="High",-2,IF(I137="Moderate",-1,0))+IF(K137="Positive",2,IF(K137="Mixed",0,IF(K137="Negative",-2,0))))</x:f>
        <x:v>-3</x:v>
      </x:c>
    </x:row>
    <x:row r="138">
      <x:c r="L138" s="168" t="n">
        <x:f>IF(M138="No","",+IF(D138="Dominant",5,IF(D138="Supporting",3,IF(D138="Neutral",1,-2)))+IF(E138="Significant",2,IF(E138="Directional",1,IF(E138="Mixed",0,-1)))+IF(G138="High",2,IF(G138="Moderate",1,0))+IF(H138="Yes",-2,0)+IF(I138="High",-2,IF(I138="Moderate",-1,0))+IF(K138="Positive",2,IF(K138="Mixed",0,IF(K138="Negative",-2,0))))</x:f>
        <x:v>-3</x:v>
      </x:c>
    </x:row>
    <x:row r="139">
      <x:c r="L139" s="168" t="n">
        <x:f>IF(M139="No","",+IF(D139="Dominant",5,IF(D139="Supporting",3,IF(D139="Neutral",1,-2)))+IF(E139="Significant",2,IF(E139="Directional",1,IF(E139="Mixed",0,-1)))+IF(G139="High",2,IF(G139="Moderate",1,0))+IF(H139="Yes",-2,0)+IF(I139="High",-2,IF(I139="Moderate",-1,0))+IF(K139="Positive",2,IF(K139="Mixed",0,IF(K139="Negative",-2,0))))</x:f>
        <x:v>-3</x:v>
      </x:c>
    </x:row>
    <x:row r="140">
      <x:c r="L140" s="168" t="n">
        <x:f>IF(M140="No","",+IF(D140="Dominant",5,IF(D140="Supporting",3,IF(D140="Neutral",1,-2)))+IF(E140="Significant",2,IF(E140="Directional",1,IF(E140="Mixed",0,-1)))+IF(G140="High",2,IF(G140="Moderate",1,0))+IF(H140="Yes",-2,0)+IF(I140="High",-2,IF(I140="Moderate",-1,0))+IF(K140="Positive",2,IF(K140="Mixed",0,IF(K140="Negative",-2,0))))</x:f>
        <x:v>-3</x:v>
      </x:c>
    </x:row>
    <x:row r="141">
      <x:c r="L141" s="168" t="n">
        <x:f>IF(M141="No","",+IF(D141="Dominant",5,IF(D141="Supporting",3,IF(D141="Neutral",1,-2)))+IF(E141="Significant",2,IF(E141="Directional",1,IF(E141="Mixed",0,-1)))+IF(G141="High",2,IF(G141="Moderate",1,0))+IF(H141="Yes",-2,0)+IF(I141="High",-2,IF(I141="Moderate",-1,0))+IF(K141="Positive",2,IF(K141="Mixed",0,IF(K141="Negative",-2,0))))</x:f>
        <x:v>-3</x:v>
      </x:c>
    </x:row>
    <x:row r="142">
      <x:c r="L142" s="168" t="n">
        <x:f>IF(M142="No","",+IF(D142="Dominant",5,IF(D142="Supporting",3,IF(D142="Neutral",1,-2)))+IF(E142="Significant",2,IF(E142="Directional",1,IF(E142="Mixed",0,-1)))+IF(G142="High",2,IF(G142="Moderate",1,0))+IF(H142="Yes",-2,0)+IF(I142="High",-2,IF(I142="Moderate",-1,0))+IF(K142="Positive",2,IF(K142="Mixed",0,IF(K142="Negative",-2,0))))</x:f>
        <x:v>-3</x:v>
      </x:c>
    </x:row>
    <x:row r="143">
      <x:c r="L143" s="168" t="n">
        <x:f>IF(M143="No","",+IF(D143="Dominant",5,IF(D143="Supporting",3,IF(D143="Neutral",1,-2)))+IF(E143="Significant",2,IF(E143="Directional",1,IF(E143="Mixed",0,-1)))+IF(G143="High",2,IF(G143="Moderate",1,0))+IF(H143="Yes",-2,0)+IF(I143="High",-2,IF(I143="Moderate",-1,0))+IF(K143="Positive",2,IF(K143="Mixed",0,IF(K143="Negative",-2,0))))</x:f>
        <x:v>-3</x:v>
      </x:c>
    </x:row>
    <x:row r="144">
      <x:c r="L144" s="168" t="n">
        <x:f>IF(M144="No","",+IF(D144="Dominant",5,IF(D144="Supporting",3,IF(D144="Neutral",1,-2)))+IF(E144="Significant",2,IF(E144="Directional",1,IF(E144="Mixed",0,-1)))+IF(G144="High",2,IF(G144="Moderate",1,0))+IF(H144="Yes",-2,0)+IF(I144="High",-2,IF(I144="Moderate",-1,0))+IF(K144="Positive",2,IF(K144="Mixed",0,IF(K144="Negative",-2,0))))</x:f>
        <x:v>-3</x:v>
      </x:c>
    </x:row>
    <x:row r="145">
      <x:c r="L145" s="168" t="n">
        <x:f>IF(M145="No","",+IF(D145="Dominant",5,IF(D145="Supporting",3,IF(D145="Neutral",1,-2)))+IF(E145="Significant",2,IF(E145="Directional",1,IF(E145="Mixed",0,-1)))+IF(G145="High",2,IF(G145="Moderate",1,0))+IF(H145="Yes",-2,0)+IF(I145="High",-2,IF(I145="Moderate",-1,0))+IF(K145="Positive",2,IF(K145="Mixed",0,IF(K145="Negative",-2,0))))</x:f>
        <x:v>-3</x:v>
      </x:c>
    </x:row>
    <x:row r="146">
      <x:c r="L146" s="168" t="n">
        <x:f>IF(M146="No","",+IF(D146="Dominant",5,IF(D146="Supporting",3,IF(D146="Neutral",1,-2)))+IF(E146="Significant",2,IF(E146="Directional",1,IF(E146="Mixed",0,-1)))+IF(G146="High",2,IF(G146="Moderate",1,0))+IF(H146="Yes",-2,0)+IF(I146="High",-2,IF(I146="Moderate",-1,0))+IF(K146="Positive",2,IF(K146="Mixed",0,IF(K146="Negative",-2,0))))</x:f>
        <x:v>-3</x:v>
      </x:c>
    </x:row>
    <x:row r="147">
      <x:c r="L147" s="168" t="n">
        <x:f>IF(M147="No","",+IF(D147="Dominant",5,IF(D147="Supporting",3,IF(D147="Neutral",1,-2)))+IF(E147="Significant",2,IF(E147="Directional",1,IF(E147="Mixed",0,-1)))+IF(G147="High",2,IF(G147="Moderate",1,0))+IF(H147="Yes",-2,0)+IF(I147="High",-2,IF(I147="Moderate",-1,0))+IF(K147="Positive",2,IF(K147="Mixed",0,IF(K147="Negative",-2,0))))</x:f>
        <x:v>-3</x:v>
      </x:c>
    </x:row>
    <x:row r="148">
      <x:c r="L148" s="168" t="n">
        <x:f>IF(M148="No","",+IF(D148="Dominant",5,IF(D148="Supporting",3,IF(D148="Neutral",1,-2)))+IF(E148="Significant",2,IF(E148="Directional",1,IF(E148="Mixed",0,-1)))+IF(G148="High",2,IF(G148="Moderate",1,0))+IF(H148="Yes",-2,0)+IF(I148="High",-2,IF(I148="Moderate",-1,0))+IF(K148="Positive",2,IF(K148="Mixed",0,IF(K148="Negative",-2,0))))</x:f>
        <x:v>-3</x:v>
      </x:c>
    </x:row>
    <x:row r="149">
      <x:c r="L149" s="168" t="n">
        <x:f>IF(M149="No","",+IF(D149="Dominant",5,IF(D149="Supporting",3,IF(D149="Neutral",1,-2)))+IF(E149="Significant",2,IF(E149="Directional",1,IF(E149="Mixed",0,-1)))+IF(G149="High",2,IF(G149="Moderate",1,0))+IF(H149="Yes",-2,0)+IF(I149="High",-2,IF(I149="Moderate",-1,0))+IF(K149="Positive",2,IF(K149="Mixed",0,IF(K149="Negative",-2,0))))</x:f>
        <x:v>-3</x:v>
      </x:c>
    </x:row>
    <x:row r="150">
      <x:c r="L150" s="168" t="n">
        <x:f>IF(M150="No","",+IF(D150="Dominant",5,IF(D150="Supporting",3,IF(D150="Neutral",1,-2)))+IF(E150="Significant",2,IF(E150="Directional",1,IF(E150="Mixed",0,-1)))+IF(G150="High",2,IF(G150="Moderate",1,0))+IF(H150="Yes",-2,0)+IF(I150="High",-2,IF(I150="Moderate",-1,0))+IF(K150="Positive",2,IF(K150="Mixed",0,IF(K150="Negative",-2,0))))</x:f>
        <x:v>-3</x:v>
      </x:c>
    </x:row>
    <x:row r="151">
      <x:c r="L151" s="168" t="n">
        <x:f>IF(M151="No","",+IF(D151="Dominant",5,IF(D151="Supporting",3,IF(D151="Neutral",1,-2)))+IF(E151="Significant",2,IF(E151="Directional",1,IF(E151="Mixed",0,-1)))+IF(G151="High",2,IF(G151="Moderate",1,0))+IF(H151="Yes",-2,0)+IF(I151="High",-2,IF(I151="Moderate",-1,0))+IF(K151="Positive",2,IF(K151="Mixed",0,IF(K151="Negative",-2,0))))</x:f>
        <x:v>-3</x:v>
      </x:c>
    </x:row>
    <x:row r="152">
      <x:c r="L152" s="168" t="n">
        <x:f>IF(M152="No","",+IF(D152="Dominant",5,IF(D152="Supporting",3,IF(D152="Neutral",1,-2)))+IF(E152="Significant",2,IF(E152="Directional",1,IF(E152="Mixed",0,-1)))+IF(G152="High",2,IF(G152="Moderate",1,0))+IF(H152="Yes",-2,0)+IF(I152="High",-2,IF(I152="Moderate",-1,0))+IF(K152="Positive",2,IF(K152="Mixed",0,IF(K152="Negative",-2,0))))</x:f>
        <x:v>-3</x:v>
      </x:c>
    </x:row>
    <x:row r="153">
      <x:c r="L153" s="168" t="n">
        <x:f>IF(M153="No","",+IF(D153="Dominant",5,IF(D153="Supporting",3,IF(D153="Neutral",1,-2)))+IF(E153="Significant",2,IF(E153="Directional",1,IF(E153="Mixed",0,-1)))+IF(G153="High",2,IF(G153="Moderate",1,0))+IF(H153="Yes",-2,0)+IF(I153="High",-2,IF(I153="Moderate",-1,0))+IF(K153="Positive",2,IF(K153="Mixed",0,IF(K153="Negative",-2,0))))</x:f>
        <x:v>-3</x:v>
      </x:c>
    </x:row>
    <x:row r="154">
      <x:c r="L154" s="168" t="n">
        <x:f>IF(M154="No","",+IF(D154="Dominant",5,IF(D154="Supporting",3,IF(D154="Neutral",1,-2)))+IF(E154="Significant",2,IF(E154="Directional",1,IF(E154="Mixed",0,-1)))+IF(G154="High",2,IF(G154="Moderate",1,0))+IF(H154="Yes",-2,0)+IF(I154="High",-2,IF(I154="Moderate",-1,0))+IF(K154="Positive",2,IF(K154="Mixed",0,IF(K154="Negative",-2,0))))</x:f>
        <x:v>-3</x:v>
      </x:c>
    </x:row>
    <x:row r="155">
      <x:c r="L155" s="168" t="n">
        <x:f>IF(M155="No","",+IF(D155="Dominant",5,IF(D155="Supporting",3,IF(D155="Neutral",1,-2)))+IF(E155="Significant",2,IF(E155="Directional",1,IF(E155="Mixed",0,-1)))+IF(G155="High",2,IF(G155="Moderate",1,0))+IF(H155="Yes",-2,0)+IF(I155="High",-2,IF(I155="Moderate",-1,0))+IF(K155="Positive",2,IF(K155="Mixed",0,IF(K155="Negative",-2,0))))</x:f>
        <x:v>-3</x:v>
      </x:c>
    </x:row>
    <x:row r="156">
      <x:c r="L156" s="168" t="n">
        <x:f>IF(M156="No","",+IF(D156="Dominant",5,IF(D156="Supporting",3,IF(D156="Neutral",1,-2)))+IF(E156="Significant",2,IF(E156="Directional",1,IF(E156="Mixed",0,-1)))+IF(G156="High",2,IF(G156="Moderate",1,0))+IF(H156="Yes",-2,0)+IF(I156="High",-2,IF(I156="Moderate",-1,0))+IF(K156="Positive",2,IF(K156="Mixed",0,IF(K156="Negative",-2,0))))</x:f>
        <x:v>-3</x:v>
      </x:c>
    </x:row>
    <x:row r="157">
      <x:c r="L157" s="168" t="n">
        <x:f>IF(M157="No","",+IF(D157="Dominant",5,IF(D157="Supporting",3,IF(D157="Neutral",1,-2)))+IF(E157="Significant",2,IF(E157="Directional",1,IF(E157="Mixed",0,-1)))+IF(G157="High",2,IF(G157="Moderate",1,0))+IF(H157="Yes",-2,0)+IF(I157="High",-2,IF(I157="Moderate",-1,0))+IF(K157="Positive",2,IF(K157="Mixed",0,IF(K157="Negative",-2,0))))</x:f>
        <x:v>-3</x:v>
      </x:c>
    </x:row>
    <x:row r="158">
      <x:c r="L158" s="168" t="n">
        <x:f>IF(M158="No","",+IF(D158="Dominant",5,IF(D158="Supporting",3,IF(D158="Neutral",1,-2)))+IF(E158="Significant",2,IF(E158="Directional",1,IF(E158="Mixed",0,-1)))+IF(G158="High",2,IF(G158="Moderate",1,0))+IF(H158="Yes",-2,0)+IF(I158="High",-2,IF(I158="Moderate",-1,0))+IF(K158="Positive",2,IF(K158="Mixed",0,IF(K158="Negative",-2,0))))</x:f>
        <x:v>-3</x:v>
      </x:c>
    </x:row>
    <x:row r="159">
      <x:c r="L159" s="168" t="n">
        <x:f>IF(M159="No","",+IF(D159="Dominant",5,IF(D159="Supporting",3,IF(D159="Neutral",1,-2)))+IF(E159="Significant",2,IF(E159="Directional",1,IF(E159="Mixed",0,-1)))+IF(G159="High",2,IF(G159="Moderate",1,0))+IF(H159="Yes",-2,0)+IF(I159="High",-2,IF(I159="Moderate",-1,0))+IF(K159="Positive",2,IF(K159="Mixed",0,IF(K159="Negative",-2,0))))</x:f>
        <x:v>-3</x:v>
      </x:c>
    </x:row>
    <x:row r="160">
      <x:c r="L160" s="168" t="n">
        <x:f>IF(M160="No","",+IF(D160="Dominant",5,IF(D160="Supporting",3,IF(D160="Neutral",1,-2)))+IF(E160="Significant",2,IF(E160="Directional",1,IF(E160="Mixed",0,-1)))+IF(G160="High",2,IF(G160="Moderate",1,0))+IF(H160="Yes",-2,0)+IF(I160="High",-2,IF(I160="Moderate",-1,0))+IF(K160="Positive",2,IF(K160="Mixed",0,IF(K160="Negative",-2,0))))</x:f>
        <x:v>-3</x:v>
      </x:c>
    </x:row>
    <x:row r="161">
      <x:c r="L161" s="168" t="n">
        <x:f>IF(M161="No","",+IF(D161="Dominant",5,IF(D161="Supporting",3,IF(D161="Neutral",1,-2)))+IF(E161="Significant",2,IF(E161="Directional",1,IF(E161="Mixed",0,-1)))+IF(G161="High",2,IF(G161="Moderate",1,0))+IF(H161="Yes",-2,0)+IF(I161="High",-2,IF(I161="Moderate",-1,0))+IF(K161="Positive",2,IF(K161="Mixed",0,IF(K161="Negative",-2,0))))</x:f>
        <x:v>-3</x:v>
      </x:c>
    </x:row>
    <x:row r="162">
      <x:c r="L162" s="168" t="n">
        <x:f>IF(M162="No","",+IF(D162="Dominant",5,IF(D162="Supporting",3,IF(D162="Neutral",1,-2)))+IF(E162="Significant",2,IF(E162="Directional",1,IF(E162="Mixed",0,-1)))+IF(G162="High",2,IF(G162="Moderate",1,0))+IF(H162="Yes",-2,0)+IF(I162="High",-2,IF(I162="Moderate",-1,0))+IF(K162="Positive",2,IF(K162="Mixed",0,IF(K162="Negative",-2,0))))</x:f>
        <x:v>-3</x:v>
      </x:c>
    </x:row>
    <x:row r="163">
      <x:c r="L163" s="168" t="n">
        <x:f>IF(M163="No","",+IF(D163="Dominant",5,IF(D163="Supporting",3,IF(D163="Neutral",1,-2)))+IF(E163="Significant",2,IF(E163="Directional",1,IF(E163="Mixed",0,-1)))+IF(G163="High",2,IF(G163="Moderate",1,0))+IF(H163="Yes",-2,0)+IF(I163="High",-2,IF(I163="Moderate",-1,0))+IF(K163="Positive",2,IF(K163="Mixed",0,IF(K163="Negative",-2,0))))</x:f>
        <x:v>-3</x:v>
      </x:c>
    </x:row>
    <x:row r="164">
      <x:c r="L164" s="168" t="n">
        <x:f>IF(M164="No","",+IF(D164="Dominant",5,IF(D164="Supporting",3,IF(D164="Neutral",1,-2)))+IF(E164="Significant",2,IF(E164="Directional",1,IF(E164="Mixed",0,-1)))+IF(G164="High",2,IF(G164="Moderate",1,0))+IF(H164="Yes",-2,0)+IF(I164="High",-2,IF(I164="Moderate",-1,0))+IF(K164="Positive",2,IF(K164="Mixed",0,IF(K164="Negative",-2,0))))</x:f>
        <x:v>-3</x:v>
      </x:c>
    </x:row>
    <x:row r="165">
      <x:c r="L165" s="168" t="n">
        <x:f>IF(M165="No","",+IF(D165="Dominant",5,IF(D165="Supporting",3,IF(D165="Neutral",1,-2)))+IF(E165="Significant",2,IF(E165="Directional",1,IF(E165="Mixed",0,-1)))+IF(G165="High",2,IF(G165="Moderate",1,0))+IF(H165="Yes",-2,0)+IF(I165="High",-2,IF(I165="Moderate",-1,0))+IF(K165="Positive",2,IF(K165="Mixed",0,IF(K165="Negative",-2,0))))</x:f>
        <x:v>-3</x:v>
      </x:c>
    </x:row>
    <x:row r="166">
      <x:c r="L166" s="168" t="n">
        <x:f>IF(M166="No","",+IF(D166="Dominant",5,IF(D166="Supporting",3,IF(D166="Neutral",1,-2)))+IF(E166="Significant",2,IF(E166="Directional",1,IF(E166="Mixed",0,-1)))+IF(G166="High",2,IF(G166="Moderate",1,0))+IF(H166="Yes",-2,0)+IF(I166="High",-2,IF(I166="Moderate",-1,0))+IF(K166="Positive",2,IF(K166="Mixed",0,IF(K166="Negative",-2,0))))</x:f>
        <x:v>-3</x:v>
      </x:c>
    </x:row>
    <x:row r="167">
      <x:c r="L167" s="168" t="n">
        <x:f>IF(M167="No","",+IF(D167="Dominant",5,IF(D167="Supporting",3,IF(D167="Neutral",1,-2)))+IF(E167="Significant",2,IF(E167="Directional",1,IF(E167="Mixed",0,-1)))+IF(G167="High",2,IF(G167="Moderate",1,0))+IF(H167="Yes",-2,0)+IF(I167="High",-2,IF(I167="Moderate",-1,0))+IF(K167="Positive",2,IF(K167="Mixed",0,IF(K167="Negative",-2,0))))</x:f>
        <x:v>-3</x:v>
      </x:c>
    </x:row>
    <x:row r="168">
      <x:c r="L168" s="168" t="n">
        <x:f>IF(M168="No","",+IF(D168="Dominant",5,IF(D168="Supporting",3,IF(D168="Neutral",1,-2)))+IF(E168="Significant",2,IF(E168="Directional",1,IF(E168="Mixed",0,-1)))+IF(G168="High",2,IF(G168="Moderate",1,0))+IF(H168="Yes",-2,0)+IF(I168="High",-2,IF(I168="Moderate",-1,0))+IF(K168="Positive",2,IF(K168="Mixed",0,IF(K168="Negative",-2,0))))</x:f>
        <x:v>-3</x:v>
      </x:c>
    </x:row>
    <x:row r="169">
      <x:c r="L169" s="168" t="n">
        <x:f>IF(M169="No","",+IF(D169="Dominant",5,IF(D169="Supporting",3,IF(D169="Neutral",1,-2)))+IF(E169="Significant",2,IF(E169="Directional",1,IF(E169="Mixed",0,-1)))+IF(G169="High",2,IF(G169="Moderate",1,0))+IF(H169="Yes",-2,0)+IF(I169="High",-2,IF(I169="Moderate",-1,0))+IF(K169="Positive",2,IF(K169="Mixed",0,IF(K169="Negative",-2,0))))</x:f>
        <x:v>-3</x:v>
      </x:c>
    </x:row>
    <x:row r="170">
      <x:c r="L170" s="168" t="n">
        <x:f>IF(M170="No","",+IF(D170="Dominant",5,IF(D170="Supporting",3,IF(D170="Neutral",1,-2)))+IF(E170="Significant",2,IF(E170="Directional",1,IF(E170="Mixed",0,-1)))+IF(G170="High",2,IF(G170="Moderate",1,0))+IF(H170="Yes",-2,0)+IF(I170="High",-2,IF(I170="Moderate",-1,0))+IF(K170="Positive",2,IF(K170="Mixed",0,IF(K170="Negative",-2,0))))</x:f>
        <x:v>-3</x:v>
      </x:c>
    </x:row>
    <x:row r="171">
      <x:c r="L171" s="168" t="n">
        <x:f>IF(M171="No","",+IF(D171="Dominant",5,IF(D171="Supporting",3,IF(D171="Neutral",1,-2)))+IF(E171="Significant",2,IF(E171="Directional",1,IF(E171="Mixed",0,-1)))+IF(G171="High",2,IF(G171="Moderate",1,0))+IF(H171="Yes",-2,0)+IF(I171="High",-2,IF(I171="Moderate",-1,0))+IF(K171="Positive",2,IF(K171="Mixed",0,IF(K171="Negative",-2,0))))</x:f>
        <x:v>-3</x:v>
      </x:c>
    </x:row>
    <x:row r="172">
      <x:c r="L172" s="168" t="n">
        <x:f>IF(M172="No","",+IF(D172="Dominant",5,IF(D172="Supporting",3,IF(D172="Neutral",1,-2)))+IF(E172="Significant",2,IF(E172="Directional",1,IF(E172="Mixed",0,-1)))+IF(G172="High",2,IF(G172="Moderate",1,0))+IF(H172="Yes",-2,0)+IF(I172="High",-2,IF(I172="Moderate",-1,0))+IF(K172="Positive",2,IF(K172="Mixed",0,IF(K172="Negative",-2,0))))</x:f>
        <x:v>-3</x:v>
      </x:c>
    </x:row>
    <x:row r="173">
      <x:c r="L173" s="168" t="n">
        <x:f>IF(M173="No","",+IF(D173="Dominant",5,IF(D173="Supporting",3,IF(D173="Neutral",1,-2)))+IF(E173="Significant",2,IF(E173="Directional",1,IF(E173="Mixed",0,-1)))+IF(G173="High",2,IF(G173="Moderate",1,0))+IF(H173="Yes",-2,0)+IF(I173="High",-2,IF(I173="Moderate",-1,0))+IF(K173="Positive",2,IF(K173="Mixed",0,IF(K173="Negative",-2,0))))</x:f>
        <x:v>-3</x:v>
      </x:c>
    </x:row>
    <x:row r="174">
      <x:c r="L174" s="168" t="n">
        <x:f>IF(M174="No","",+IF(D174="Dominant",5,IF(D174="Supporting",3,IF(D174="Neutral",1,-2)))+IF(E174="Significant",2,IF(E174="Directional",1,IF(E174="Mixed",0,-1)))+IF(G174="High",2,IF(G174="Moderate",1,0))+IF(H174="Yes",-2,0)+IF(I174="High",-2,IF(I174="Moderate",-1,0))+IF(K174="Positive",2,IF(K174="Mixed",0,IF(K174="Negative",-2,0))))</x:f>
        <x:v>-3</x:v>
      </x:c>
    </x:row>
    <x:row r="175">
      <x:c r="L175" s="168" t="n">
        <x:f>IF(M175="No","",+IF(D175="Dominant",5,IF(D175="Supporting",3,IF(D175="Neutral",1,-2)))+IF(E175="Significant",2,IF(E175="Directional",1,IF(E175="Mixed",0,-1)))+IF(G175="High",2,IF(G175="Moderate",1,0))+IF(H175="Yes",-2,0)+IF(I175="High",-2,IF(I175="Moderate",-1,0))+IF(K175="Positive",2,IF(K175="Mixed",0,IF(K175="Negative",-2,0))))</x:f>
        <x:v>-3</x:v>
      </x:c>
    </x:row>
    <x:row r="176">
      <x:c r="L176" s="168" t="n">
        <x:f>IF(M176="No","",+IF(D176="Dominant",5,IF(D176="Supporting",3,IF(D176="Neutral",1,-2)))+IF(E176="Significant",2,IF(E176="Directional",1,IF(E176="Mixed",0,-1)))+IF(G176="High",2,IF(G176="Moderate",1,0))+IF(H176="Yes",-2,0)+IF(I176="High",-2,IF(I176="Moderate",-1,0))+IF(K176="Positive",2,IF(K176="Mixed",0,IF(K176="Negative",-2,0))))</x:f>
        <x:v>-3</x:v>
      </x:c>
    </x:row>
    <x:row r="177">
      <x:c r="L177" s="168" t="n">
        <x:f>IF(M177="No","",+IF(D177="Dominant",5,IF(D177="Supporting",3,IF(D177="Neutral",1,-2)))+IF(E177="Significant",2,IF(E177="Directional",1,IF(E177="Mixed",0,-1)))+IF(G177="High",2,IF(G177="Moderate",1,0))+IF(H177="Yes",-2,0)+IF(I177="High",-2,IF(I177="Moderate",-1,0))+IF(K177="Positive",2,IF(K177="Mixed",0,IF(K177="Negative",-2,0))))</x:f>
        <x:v>-3</x:v>
      </x:c>
    </x:row>
    <x:row r="178">
      <x:c r="L178" s="168" t="n">
        <x:f>IF(M178="No","",+IF(D178="Dominant",5,IF(D178="Supporting",3,IF(D178="Neutral",1,-2)))+IF(E178="Significant",2,IF(E178="Directional",1,IF(E178="Mixed",0,-1)))+IF(G178="High",2,IF(G178="Moderate",1,0))+IF(H178="Yes",-2,0)+IF(I178="High",-2,IF(I178="Moderate",-1,0))+IF(K178="Positive",2,IF(K178="Mixed",0,IF(K178="Negative",-2,0))))</x:f>
        <x:v>-3</x:v>
      </x:c>
    </x:row>
    <x:row r="179">
      <x:c r="L179" s="168" t="n">
        <x:f>IF(M179="No","",+IF(D179="Dominant",5,IF(D179="Supporting",3,IF(D179="Neutral",1,-2)))+IF(E179="Significant",2,IF(E179="Directional",1,IF(E179="Mixed",0,-1)))+IF(G179="High",2,IF(G179="Moderate",1,0))+IF(H179="Yes",-2,0)+IF(I179="High",-2,IF(I179="Moderate",-1,0))+IF(K179="Positive",2,IF(K179="Mixed",0,IF(K179="Negative",-2,0))))</x:f>
        <x:v>-3</x:v>
      </x:c>
    </x:row>
    <x:row r="180">
      <x:c r="L180" s="168" t="n">
        <x:f>IF(M180="No","",+IF(D180="Dominant",5,IF(D180="Supporting",3,IF(D180="Neutral",1,-2)))+IF(E180="Significant",2,IF(E180="Directional",1,IF(E180="Mixed",0,-1)))+IF(G180="High",2,IF(G180="Moderate",1,0))+IF(H180="Yes",-2,0)+IF(I180="High",-2,IF(I180="Moderate",-1,0))+IF(K180="Positive",2,IF(K180="Mixed",0,IF(K180="Negative",-2,0))))</x:f>
        <x:v>-3</x:v>
      </x:c>
    </x:row>
    <x:row r="181">
      <x:c r="L181" s="168" t="n">
        <x:f>IF(M181="No","",+IF(D181="Dominant",5,IF(D181="Supporting",3,IF(D181="Neutral",1,-2)))+IF(E181="Significant",2,IF(E181="Directional",1,IF(E181="Mixed",0,-1)))+IF(G181="High",2,IF(G181="Moderate",1,0))+IF(H181="Yes",-2,0)+IF(I181="High",-2,IF(I181="Moderate",-1,0))+IF(K181="Positive",2,IF(K181="Mixed",0,IF(K181="Negative",-2,0))))</x:f>
        <x:v>-3</x:v>
      </x:c>
    </x:row>
    <x:row r="182">
      <x:c r="L182" s="168" t="n">
        <x:f>IF(M182="No","",+IF(D182="Dominant",5,IF(D182="Supporting",3,IF(D182="Neutral",1,-2)))+IF(E182="Significant",2,IF(E182="Directional",1,IF(E182="Mixed",0,-1)))+IF(G182="High",2,IF(G182="Moderate",1,0))+IF(H182="Yes",-2,0)+IF(I182="High",-2,IF(I182="Moderate",-1,0))+IF(K182="Positive",2,IF(K182="Mixed",0,IF(K182="Negative",-2,0))))</x:f>
        <x:v>-3</x:v>
      </x:c>
    </x:row>
    <x:row r="183">
      <x:c r="L183" s="168" t="n">
        <x:f>IF(M183="No","",+IF(D183="Dominant",5,IF(D183="Supporting",3,IF(D183="Neutral",1,-2)))+IF(E183="Significant",2,IF(E183="Directional",1,IF(E183="Mixed",0,-1)))+IF(G183="High",2,IF(G183="Moderate",1,0))+IF(H183="Yes",-2,0)+IF(I183="High",-2,IF(I183="Moderate",-1,0))+IF(K183="Positive",2,IF(K183="Mixed",0,IF(K183="Negative",-2,0))))</x:f>
        <x:v>-3</x:v>
      </x:c>
    </x:row>
    <x:row r="184">
      <x:c r="L184" s="168" t="n">
        <x:f>IF(M184="No","",+IF(D184="Dominant",5,IF(D184="Supporting",3,IF(D184="Neutral",1,-2)))+IF(E184="Significant",2,IF(E184="Directional",1,IF(E184="Mixed",0,-1)))+IF(G184="High",2,IF(G184="Moderate",1,0))+IF(H184="Yes",-2,0)+IF(I184="High",-2,IF(I184="Moderate",-1,0))+IF(K184="Positive",2,IF(K184="Mixed",0,IF(K184="Negative",-2,0))))</x:f>
        <x:v>-3</x:v>
      </x:c>
    </x:row>
    <x:row r="185">
      <x:c r="L185" s="168" t="n">
        <x:f>IF(M185="No","",+IF(D185="Dominant",5,IF(D185="Supporting",3,IF(D185="Neutral",1,-2)))+IF(E185="Significant",2,IF(E185="Directional",1,IF(E185="Mixed",0,-1)))+IF(G185="High",2,IF(G185="Moderate",1,0))+IF(H185="Yes",-2,0)+IF(I185="High",-2,IF(I185="Moderate",-1,0))+IF(K185="Positive",2,IF(K185="Mixed",0,IF(K185="Negative",-2,0))))</x:f>
        <x:v>-3</x:v>
      </x:c>
    </x:row>
    <x:row r="186">
      <x:c r="L186" s="168" t="n">
        <x:f>IF(M186="No","",+IF(D186="Dominant",5,IF(D186="Supporting",3,IF(D186="Neutral",1,-2)))+IF(E186="Significant",2,IF(E186="Directional",1,IF(E186="Mixed",0,-1)))+IF(G186="High",2,IF(G186="Moderate",1,0))+IF(H186="Yes",-2,0)+IF(I186="High",-2,IF(I186="Moderate",-1,0))+IF(K186="Positive",2,IF(K186="Mixed",0,IF(K186="Negative",-2,0))))</x:f>
        <x:v>-3</x:v>
      </x:c>
    </x:row>
    <x:row r="187">
      <x:c r="L187" s="168" t="n">
        <x:f>IF(M187="No","",+IF(D187="Dominant",5,IF(D187="Supporting",3,IF(D187="Neutral",1,-2)))+IF(E187="Significant",2,IF(E187="Directional",1,IF(E187="Mixed",0,-1)))+IF(G187="High",2,IF(G187="Moderate",1,0))+IF(H187="Yes",-2,0)+IF(I187="High",-2,IF(I187="Moderate",-1,0))+IF(K187="Positive",2,IF(K187="Mixed",0,IF(K187="Negative",-2,0))))</x:f>
        <x:v>-3</x:v>
      </x:c>
    </x:row>
    <x:row r="188">
      <x:c r="L188" s="168" t="n">
        <x:f>IF(M188="No","",+IF(D188="Dominant",5,IF(D188="Supporting",3,IF(D188="Neutral",1,-2)))+IF(E188="Significant",2,IF(E188="Directional",1,IF(E188="Mixed",0,-1)))+IF(G188="High",2,IF(G188="Moderate",1,0))+IF(H188="Yes",-2,0)+IF(I188="High",-2,IF(I188="Moderate",-1,0))+IF(K188="Positive",2,IF(K188="Mixed",0,IF(K188="Negative",-2,0))))</x:f>
        <x:v>-3</x:v>
      </x:c>
    </x:row>
    <x:row r="189">
      <x:c r="L189" s="168" t="n">
        <x:f>IF(M189="No","",+IF(D189="Dominant",5,IF(D189="Supporting",3,IF(D189="Neutral",1,-2)))+IF(E189="Significant",2,IF(E189="Directional",1,IF(E189="Mixed",0,-1)))+IF(G189="High",2,IF(G189="Moderate",1,0))+IF(H189="Yes",-2,0)+IF(I189="High",-2,IF(I189="Moderate",-1,0))+IF(K189="Positive",2,IF(K189="Mixed",0,IF(K189="Negative",-2,0))))</x:f>
        <x:v>-3</x:v>
      </x:c>
    </x:row>
    <x:row r="190">
      <x:c r="L190" s="168" t="n">
        <x:f>IF(M190="No","",+IF(D190="Dominant",5,IF(D190="Supporting",3,IF(D190="Neutral",1,-2)))+IF(E190="Significant",2,IF(E190="Directional",1,IF(E190="Mixed",0,-1)))+IF(G190="High",2,IF(G190="Moderate",1,0))+IF(H190="Yes",-2,0)+IF(I190="High",-2,IF(I190="Moderate",-1,0))+IF(K190="Positive",2,IF(K190="Mixed",0,IF(K190="Negative",-2,0))))</x:f>
        <x:v>-3</x:v>
      </x:c>
    </x:row>
    <x:row r="191">
      <x:c r="L191" s="168" t="n">
        <x:f>IF(M191="No","",+IF(D191="Dominant",5,IF(D191="Supporting",3,IF(D191="Neutral",1,-2)))+IF(E191="Significant",2,IF(E191="Directional",1,IF(E191="Mixed",0,-1)))+IF(G191="High",2,IF(G191="Moderate",1,0))+IF(H191="Yes",-2,0)+IF(I191="High",-2,IF(I191="Moderate",-1,0))+IF(K191="Positive",2,IF(K191="Mixed",0,IF(K191="Negative",-2,0))))</x:f>
        <x:v>-3</x:v>
      </x:c>
    </x:row>
    <x:row r="192">
      <x:c r="L192" s="168" t="n">
        <x:f>IF(M192="No","",+IF(D192="Dominant",5,IF(D192="Supporting",3,IF(D192="Neutral",1,-2)))+IF(E192="Significant",2,IF(E192="Directional",1,IF(E192="Mixed",0,-1)))+IF(G192="High",2,IF(G192="Moderate",1,0))+IF(H192="Yes",-2,0)+IF(I192="High",-2,IF(I192="Moderate",-1,0))+IF(K192="Positive",2,IF(K192="Mixed",0,IF(K192="Negative",-2,0))))</x:f>
        <x:v>-3</x:v>
      </x:c>
    </x:row>
    <x:row r="193">
      <x:c r="L193" s="168" t="n">
        <x:f>IF(M193="No","",+IF(D193="Dominant",5,IF(D193="Supporting",3,IF(D193="Neutral",1,-2)))+IF(E193="Significant",2,IF(E193="Directional",1,IF(E193="Mixed",0,-1)))+IF(G193="High",2,IF(G193="Moderate",1,0))+IF(H193="Yes",-2,0)+IF(I193="High",-2,IF(I193="Moderate",-1,0))+IF(K193="Positive",2,IF(K193="Mixed",0,IF(K193="Negative",-2,0))))</x:f>
        <x:v>-3</x:v>
      </x:c>
    </x:row>
    <x:row r="194">
      <x:c r="L194" s="168" t="n">
        <x:f>IF(M194="No","",+IF(D194="Dominant",5,IF(D194="Supporting",3,IF(D194="Neutral",1,-2)))+IF(E194="Significant",2,IF(E194="Directional",1,IF(E194="Mixed",0,-1)))+IF(G194="High",2,IF(G194="Moderate",1,0))+IF(H194="Yes",-2,0)+IF(I194="High",-2,IF(I194="Moderate",-1,0))+IF(K194="Positive",2,IF(K194="Mixed",0,IF(K194="Negative",-2,0))))</x:f>
        <x:v>-3</x:v>
      </x:c>
    </x:row>
    <x:row r="195">
      <x:c r="L195" s="168" t="n">
        <x:f>IF(M195="No","",+IF(D195="Dominant",5,IF(D195="Supporting",3,IF(D195="Neutral",1,-2)))+IF(E195="Significant",2,IF(E195="Directional",1,IF(E195="Mixed",0,-1)))+IF(G195="High",2,IF(G195="Moderate",1,0))+IF(H195="Yes",-2,0)+IF(I195="High",-2,IF(I195="Moderate",-1,0))+IF(K195="Positive",2,IF(K195="Mixed",0,IF(K195="Negative",-2,0))))</x:f>
        <x:v>-3</x:v>
      </x:c>
    </x:row>
    <x:row r="196">
      <x:c r="L196" s="168" t="n">
        <x:f>IF(M196="No","",+IF(D196="Dominant",5,IF(D196="Supporting",3,IF(D196="Neutral",1,-2)))+IF(E196="Significant",2,IF(E196="Directional",1,IF(E196="Mixed",0,-1)))+IF(G196="High",2,IF(G196="Moderate",1,0))+IF(H196="Yes",-2,0)+IF(I196="High",-2,IF(I196="Moderate",-1,0))+IF(K196="Positive",2,IF(K196="Mixed",0,IF(K196="Negative",-2,0))))</x:f>
        <x:v>-3</x:v>
      </x:c>
    </x:row>
    <x:row r="197">
      <x:c r="L197" s="168" t="n">
        <x:f>IF(M197="No","",+IF(D197="Dominant",5,IF(D197="Supporting",3,IF(D197="Neutral",1,-2)))+IF(E197="Significant",2,IF(E197="Directional",1,IF(E197="Mixed",0,-1)))+IF(G197="High",2,IF(G197="Moderate",1,0))+IF(H197="Yes",-2,0)+IF(I197="High",-2,IF(I197="Moderate",-1,0))+IF(K197="Positive",2,IF(K197="Mixed",0,IF(K197="Negative",-2,0))))</x:f>
        <x:v>-3</x:v>
      </x:c>
    </x:row>
    <x:row r="198">
      <x:c r="L198" s="168" t="n">
        <x:f>IF(M198="No","",+IF(D198="Dominant",5,IF(D198="Supporting",3,IF(D198="Neutral",1,-2)))+IF(E198="Significant",2,IF(E198="Directional",1,IF(E198="Mixed",0,-1)))+IF(G198="High",2,IF(G198="Moderate",1,0))+IF(H198="Yes",-2,0)+IF(I198="High",-2,IF(I198="Moderate",-1,0))+IF(K198="Positive",2,IF(K198="Mixed",0,IF(K198="Negative",-2,0))))</x:f>
        <x:v>-3</x:v>
      </x:c>
    </x:row>
    <x:row r="199">
      <x:c r="L199" s="168" t="n">
        <x:f>IF(M199="No","",+IF(D199="Dominant",5,IF(D199="Supporting",3,IF(D199="Neutral",1,-2)))+IF(E199="Significant",2,IF(E199="Directional",1,IF(E199="Mixed",0,-1)))+IF(G199="High",2,IF(G199="Moderate",1,0))+IF(H199="Yes",-2,0)+IF(I199="High",-2,IF(I199="Moderate",-1,0))+IF(K199="Positive",2,IF(K199="Mixed",0,IF(K199="Negative",-2,0))))</x:f>
        <x:v>-3</x:v>
      </x:c>
    </x:row>
    <x:row r="200">
      <x:c r="L200" s="168" t="n">
        <x:f>IF(M200="No","",+IF(D200="Dominant",5,IF(D200="Supporting",3,IF(D200="Neutral",1,-2)))+IF(E200="Significant",2,IF(E200="Directional",1,IF(E200="Mixed",0,-1)))+IF(G200="High",2,IF(G200="Moderate",1,0))+IF(H200="Yes",-2,0)+IF(I200="High",-2,IF(I200="Moderate",-1,0))+IF(K200="Positive",2,IF(K200="Mixed",0,IF(K200="Negative",-2,0))))</x:f>
        <x:v>-3</x:v>
      </x:c>
    </x:row>
  </x:sheetData>
  <x:mergeCells>
    <x:mergeCell ref="A1:N1"/>
    <x:mergeCell ref="A2:N2"/>
  </x:mergeCells>
  <x:dataValidations count="8">
    <x:dataValidation type="list" sqref="D5:D200">
      <x:formula1>"Dominant,Supporting,Neutral,Contradictory"</x:formula1>
    </x:dataValidation>
    <x:dataValidation type="list" sqref="E5:E200">
      <x:formula1>"Significant,Not significant,Directional,Mixed"</x:formula1>
    </x:dataValidation>
    <x:dataValidation type="list" sqref="G5:G200">
      <x:formula1>"High,Moderate,Low"</x:formula1>
    </x:dataValidation>
    <x:dataValidation type="list" sqref="H5:H200">
      <x:formula1>"Yes,No"</x:formula1>
    </x:dataValidation>
    <x:dataValidation type="list" sqref="I5:I200">
      <x:formula1>"High,Moderate,Low"</x:formula1>
    </x:dataValidation>
    <x:dataValidation type="list" sqref="J5:J200">
      <x:formula1>"Positive,Neutral,Risk if ignored,High risk"</x:formula1>
    </x:dataValidation>
    <x:dataValidation type="list" sqref="K5:K200">
      <x:formula1>"Positive,Neutral,Negative,Mixed"</x:formula1>
    </x:dataValidation>
    <x:dataValidation type="list" sqref="M5:M2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cdd653a715d4b99"/>
  </x:tableParts>
</x:worksheet>
</file>

<file path=xl/worksheets/sheet3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22" hidden="0" customWidth="1"/>
    <x:col min="4" max="4" width="22" hidden="0" customWidth="1"/>
    <x:col min="5" max="5" width="18" hidden="0" customWidth="1"/>
    <x:col min="6" max="6" width="18" hidden="0" customWidth="1"/>
    <x:col min="7" max="7" width="40" hidden="0" customWidth="1"/>
    <x:col min="8" max="8" width="14" hidden="0" customWidth="1"/>
    <x:col min="9" max="9" width="12" hidden="0" customWidth="1"/>
    <x:col min="10" max="10" width="12" hidden="0" customWidth="1"/>
    <x:col min="11" max="11" width="42" hidden="0" customWidth="1"/>
    <x:col min="12" max="12" width="14" hidden="0" customWidth="1"/>
    <x:col min="13" max="13" width="12" hidden="0" customWidth="1"/>
  </x:cols>
  <x:sheetData>
    <x:row r="1" ht="17.08984375" hidden="0" customHeight="1">
      <x:c r="A1" s="114" t="str">
        <x:v>BAOS Profile</x:v>
      </x:c>
    </x:row>
    <x:row r="2" ht="153.80859375" hidden="0" customHeight="1">
      <x:c r="A2" s="118" t="str">
        <x:v>Convert evidence vulnerabilities into stakeholder-level objections, cognitive risks, and mitigation guidance.</x:v>
      </x:c>
    </x:row>
    <x:row r="4" ht="34.1796875" hidden="0" customHeight="1">
      <x:c r="A4" s="127" t="str">
        <x:v>ProgramID</x:v>
      </x:c>
      <x:c r="B4" s="159" t="str">
        <x:v>BridgeID</x:v>
      </x:c>
      <x:c r="C4" s="159" t="str">
        <x:v>StatementID</x:v>
      </x:c>
      <x:c r="D4" s="159" t="str">
        <x:v>Stakeholder</x:v>
      </x:c>
      <x:c r="E4" s="159" t="str">
        <x:v>BarrierType</x:v>
      </x:c>
      <x:c r="F4" s="159" t="str">
        <x:v>CognitiveRisk</x:v>
      </x:c>
      <x:c r="G4" s="159" t="str">
        <x:v>Objection</x:v>
      </x:c>
      <x:c r="H4" s="159" t="str">
        <x:v>PerceptionRisk</x:v>
      </x:c>
      <x:c r="I4" s="159" t="str">
        <x:v>Likelihood</x:v>
      </x:c>
      <x:c r="J4" s="159" t="str">
        <x:v>Severity</x:v>
      </x:c>
      <x:c r="K4" s="159" t="str">
        <x:v>MitigationMessage</x:v>
      </x:c>
      <x:c r="L4" s="159" t="str">
        <x:v>ForecastImpact</x:v>
      </x:c>
      <x:c r="M4" s="128" t="str">
        <x:v>IncludeInCIOS</x:v>
      </x:c>
    </x:row>
    <x:row r="5" ht="51.26953125" hidden="0" customHeight="1">
      <x:c r="A5" s="143" t="str">
        <x:v>HIV_LAI_LAUNCH</x:v>
      </x:c>
      <x:c r="B5" s="164" t="str">
        <x:v>BR03</x:v>
      </x:c>
      <x:c r="C5" s="164" t="str">
        <x:v>HIV_LAI_LAUNCH_ST03</x:v>
      </x:c>
      <x:c r="D5" s="164" t="str">
        <x:v>Infectious Disease HCP</x:v>
      </x:c>
      <x:c r="E5" s="164" t="str">
        <x:v>Operational / workflow</x:v>
      </x:c>
      <x:c r="F5" s="164" t="str">
        <x:v>Loss-of-control concern</x:v>
      </x:c>
      <x:c r="G5" s="164" t="str">
        <x:v>Missed injections may create avoidable operational risk.</x:v>
      </x:c>
      <x:c r="H5" s="164" t="str">
        <x:v>Moderate</x:v>
      </x:c>
      <x:c r="I5" s="164" t="str">
        <x:v>High</x:v>
      </x:c>
      <x:c r="J5" s="164" t="str">
        <x:v>Moderate</x:v>
      </x:c>
      <x:c r="K5" s="164" t="str">
        <x:v>Provide workflow planning and patient-selection framing to reduce perceived operational burden.</x:v>
      </x:c>
      <x:c r="L5" s="164" t="str">
        <x:v>Negative</x:v>
      </x:c>
      <x:c r="M5" s="144" t="str">
        <x:v>Yes</x:v>
      </x:c>
    </x:row>
    <x:row r="6" ht="51.26953125" hidden="0" customHeight="1">
      <x:c r="A6" s="145" t="str">
        <x:v>HIV_LAI_LAUNCH</x:v>
      </x:c>
      <x:c r="B6" s="173" t="str">
        <x:v>BR01</x:v>
      </x:c>
      <x:c r="C6" s="173" t="str">
        <x:v>HIV_LAI_LAUNCH_ST01</x:v>
      </x:c>
      <x:c r="D6" s="173" t="str">
        <x:v>Infectious Disease HCP</x:v>
      </x:c>
      <x:c r="E6" s="173" t="str">
        <x:v>Evidence confidence</x:v>
      </x:c>
      <x:c r="F6" s="173" t="str">
        <x:v>Signal-integration question</x:v>
      </x:c>
      <x:c r="G6" s="173" t="str">
        <x:v>How strongly does adherence vulnerability translate to rebound risk in real practice?</x:v>
      </x:c>
      <x:c r="H6" s="173" t="str">
        <x:v>Low</x:v>
      </x:c>
      <x:c r="I6" s="173" t="str">
        <x:v>Moderate</x:v>
      </x:c>
      <x:c r="J6" s="173" t="str">
        <x:v>Moderate</x:v>
      </x:c>
      <x:c r="K6" s="173" t="str">
        <x:v>Use corroborating evidence and practice translation language in the map.</x:v>
      </x:c>
      <x:c r="L6" s="173" t="str">
        <x:v>Mixed</x:v>
      </x:c>
      <x:c r="M6" s="146" t="str">
        <x:v>Yes</x:v>
      </x:c>
    </x:row>
    <x:row r="7" ht="17.08984375" hidden="0" customHeight="1">
      <x:c r="A7" s="147" t="str"/>
      <x:c r="B7" s="165" t="str"/>
      <x:c r="C7" s="165" t="str"/>
      <x:c r="D7" s="165" t="str"/>
      <x:c r="E7" s="165" t="str"/>
      <x:c r="F7" s="165" t="str"/>
      <x:c r="G7" s="165" t="str"/>
      <x:c r="H7" s="165" t="str"/>
      <x:c r="I7" s="165" t="str"/>
      <x:c r="J7" s="165" t="str"/>
      <x:c r="K7" s="165" t="str"/>
      <x:c r="L7" s="165" t="str"/>
      <x:c r="M7" s="148" t="str"/>
    </x:row>
  </x:sheetData>
  <x:mergeCells>
    <x:mergeCell ref="A1:M1"/>
    <x:mergeCell ref="A2:M2"/>
  </x:mergeCells>
  <x:dataValidations count="4">
    <x:dataValidation type="list" sqref="I5:I200">
      <x:formula1>"High,Moderate,Low"</x:formula1>
    </x:dataValidation>
    <x:dataValidation type="list" sqref="J5:J200">
      <x:formula1>"High,Moderate,Low"</x:formula1>
    </x:dataValidation>
    <x:dataValidation type="list" sqref="L5:L200">
      <x:formula1>"Positive,Mixed,Negative"</x:formula1>
    </x:dataValidation>
    <x:dataValidation type="list" sqref="M5:M2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b0ee71fc1c44b53"/>
  </x:tableParts>
</x:worksheet>
</file>

<file path=xl/worksheets/sheet3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44" hidden="0" customWidth="1"/>
    <x:col min="4" max="4" width="12" hidden="0" customWidth="1"/>
    <x:col min="5" max="5" width="46" hidden="0" customWidth="1"/>
    <x:col min="6" max="6" width="22" hidden="0" customWidth="1"/>
    <x:col min="7" max="7" width="12" hidden="0" customWidth="1"/>
    <x:col min="8" max="8" width="12" hidden="0" customWidth="1"/>
    <x:col min="9" max="9" width="12" hidden="0" customWidth="1"/>
    <x:col min="10" max="10" width="16" hidden="0" customWidth="1"/>
    <x:col min="11" max="11" width="22" hidden="0" customWidth="1"/>
    <x:col min="12" max="12" width="40" hidden="0" customWidth="1"/>
    <x:col min="13" max="13" width="18" hidden="0" customWidth="1"/>
    <x:col min="14" max="14" width="10" hidden="0" customWidth="1"/>
    <x:col min="15" max="15" width="10" hidden="0" customWidth="1"/>
  </x:cols>
  <x:sheetData>
    <x:row r="1" ht="17.08984375" hidden="0" customHeight="1">
      <x:c r="A1" s="114" t="str">
        <x:v>CIOS Signal Export</x:v>
      </x:c>
    </x:row>
    <x:row r="2" ht="170.8984375" hidden="0" customHeight="1">
      <x:c r="A2" s="118" t="str">
        <x:v>This is the only sheet CIOS should read directly. Export only brand-relevant, ranked signals for the active strategic question.</x:v>
      </x:c>
    </x:row>
    <x:row r="4" ht="34.1796875" hidden="0" customHeight="1">
      <x:c r="A4" s="127" t="str">
        <x:v>ProgramID</x:v>
      </x:c>
      <x:c r="B4" s="159" t="str">
        <x:v>Brand</x:v>
      </x:c>
      <x:c r="C4" s="159" t="str">
        <x:v>StrategicQuestion</x:v>
      </x:c>
      <x:c r="D4" s="159" t="str">
        <x:v>SignalID</x:v>
      </x:c>
      <x:c r="E4" s="159" t="str">
        <x:v>SignalLabel</x:v>
      </x:c>
      <x:c r="F4" s="159" t="str">
        <x:v>SignalCategory</x:v>
      </x:c>
      <x:c r="G4" s="159" t="str">
        <x:v>Direction</x:v>
      </x:c>
      <x:c r="H4" s="159" t="str">
        <x:v>Strength</x:v>
      </x:c>
      <x:c r="I4" s="159" t="str">
        <x:v>Confidence</x:v>
      </x:c>
      <x:c r="J4" s="159" t="str">
        <x:v>SourceLayer</x:v>
      </x:c>
      <x:c r="K4" s="159" t="str">
        <x:v>SourceReference</x:v>
      </x:c>
      <x:c r="L4" s="159" t="str">
        <x:v>WhyItMatters</x:v>
      </x:c>
      <x:c r="M4" s="159" t="str">
        <x:v>ForecastDomain</x:v>
      </x:c>
      <x:c r="N4" s="159" t="str">
        <x:v>Rank</x:v>
      </x:c>
      <x:c r="O4" s="128" t="str">
        <x:v>ActiveFlag</x:v>
      </x:c>
    </x:row>
    <x:row r="5" ht="51.26953125" hidden="0" customHeight="1">
      <x:c r="A5" s="143" t="str">
        <x:v>HIV_LAI_LAUNCH</x:v>
      </x:c>
      <x:c r="B5" s="164" t="str">
        <x:v>Cabenuva</x:v>
      </x:c>
      <x:c r="C5" s="164" t="str">
        <x:v>Will belief-shift evidence reduce adoption friction for LAI therapy?</x:v>
      </x:c>
      <x:c r="D5" s="164" t="str">
        <x:v>SIG_HIV_01</x:v>
      </x:c>
      <x:c r="E5" s="164" t="str">
        <x:v>Adherence vulnerability under oral ART increases the need-state for LAI options.</x:v>
      </x:c>
      <x:c r="F5" s="164" t="str">
        <x:v>Clinical credibility / need state</x:v>
      </x:c>
      <x:c r="G5" s="164" t="str">
        <x:v>Positive</x:v>
      </x:c>
      <x:c r="H5" s="164" t="str">
        <x:v>High</x:v>
      </x:c>
      <x:c r="I5" s="164" t="str">
        <x:v>High</x:v>
      </x:c>
      <x:c r="J5" s="164" t="str">
        <x:v>MIOS Evidence</x:v>
      </x:c>
      <x:c r="K5" s="164" t="str">
        <x:v>EV01 / HIV_LAI_LAUNCH_ST01</x:v>
      </x:c>
      <x:c r="L5" s="164" t="str">
        <x:v>Strengthens the argument that status quo oral control is not always safer or more reliable.</x:v>
      </x:c>
      <x:c r="M5" s="164" t="str">
        <x:v>Adoption urgency</x:v>
      </x:c>
      <x:c r="N5" s="166" t="str">
        <x:v>1</x:v>
      </x:c>
      <x:c r="O5" s="144" t="str">
        <x:v>Yes</x:v>
      </x:c>
    </x:row>
    <x:row r="6" ht="51.26953125" hidden="0" customHeight="1">
      <x:c r="A6" s="145" t="str">
        <x:v>HIV_LAI_LAUNCH</x:v>
      </x:c>
      <x:c r="B6" s="173" t="str">
        <x:v>Cabenuva</x:v>
      </x:c>
      <x:c r="C6" s="173" t="str">
        <x:v>Will belief-shift evidence reduce adoption friction for LAI therapy?</x:v>
      </x:c>
      <x:c r="D6" s="173" t="str">
        <x:v>SIG_HIV_02</x:v>
      </x:c>
      <x:c r="E6" s="173" t="str">
        <x:v>Durable suppression evidence supports LAI therapy as a clinically meaningful option.</x:v>
      </x:c>
      <x:c r="F6" s="173" t="str">
        <x:v>Durability / efficacy</x:v>
      </x:c>
      <x:c r="G6" s="173" t="str">
        <x:v>Positive</x:v>
      </x:c>
      <x:c r="H6" s="173" t="str">
        <x:v>High</x:v>
      </x:c>
      <x:c r="I6" s="173" t="str">
        <x:v>High</x:v>
      </x:c>
      <x:c r="J6" s="173" t="str">
        <x:v>MIOS Evidence</x:v>
      </x:c>
      <x:c r="K6" s="173" t="str">
        <x:v>EV02 / HIV_LAI_LAUNCH_ST02</x:v>
      </x:c>
      <x:c r="L6" s="173" t="str">
        <x:v>Anchors the desired belief with strong clinically durable evidence.</x:v>
      </x:c>
      <x:c r="M6" s="173" t="str">
        <x:v>Clinical confidence</x:v>
      </x:c>
      <x:c r="N6" s="174" t="str">
        <x:v>2</x:v>
      </x:c>
      <x:c r="O6" s="146" t="str">
        <x:v>Yes</x:v>
      </x:c>
    </x:row>
    <x:row r="7" ht="51.26953125" hidden="0" customHeight="1">
      <x:c r="A7" s="145" t="str">
        <x:v>HIV_LAI_LAUNCH</x:v>
      </x:c>
      <x:c r="B7" s="173" t="str">
        <x:v>Cabenuva</x:v>
      </x:c>
      <x:c r="C7" s="173" t="str">
        <x:v>Will belief-shift evidence reduce adoption friction for LAI therapy?</x:v>
      </x:c>
      <x:c r="D7" s="173" t="str">
        <x:v>SIG_HIV_03</x:v>
      </x:c>
      <x:c r="E7" s="173" t="str">
        <x:v>Workflow objections may slow uptake unless addressed proactively.</x:v>
      </x:c>
      <x:c r="F7" s="173" t="str">
        <x:v>Behavioral / operational</x:v>
      </x:c>
      <x:c r="G7" s="173" t="str">
        <x:v>Negative</x:v>
      </x:c>
      <x:c r="H7" s="173" t="str">
        <x:v>Moderate</x:v>
      </x:c>
      <x:c r="I7" s="173" t="str">
        <x:v>Moderate</x:v>
      </x:c>
      <x:c r="J7" s="173" t="str">
        <x:v>BAOS</x:v>
      </x:c>
      <x:c r="K7" s="173" t="str">
        <x:v>BR03 / HIV_LAI_LAUNCH_ST03</x:v>
      </x:c>
      <x:c r="L7" s="173" t="str">
        <x:v>Explains adoption friction despite favorable evidence and should shape mitigation planning.</x:v>
      </x:c>
      <x:c r="M7" s="173" t="str">
        <x:v>Operational readiness</x:v>
      </x:c>
      <x:c r="N7" s="174" t="str">
        <x:v>3</x:v>
      </x:c>
      <x:c r="O7" s="146" t="str">
        <x:v>Yes</x:v>
      </x:c>
    </x:row>
    <x:row r="8" ht="17.08984375" hidden="0" customHeight="1">
      <x:c r="A8" s="147" t="str"/>
      <x:c r="B8" s="165" t="str"/>
      <x:c r="C8" s="165" t="str"/>
      <x:c r="D8" s="165" t="str"/>
      <x:c r="E8" s="165" t="str"/>
      <x:c r="F8" s="165" t="str"/>
      <x:c r="G8" s="165" t="str"/>
      <x:c r="H8" s="165" t="str"/>
      <x:c r="I8" s="165" t="str"/>
      <x:c r="J8" s="165" t="str"/>
      <x:c r="K8" s="165" t="str"/>
      <x:c r="L8" s="165" t="str"/>
      <x:c r="M8" s="165" t="str"/>
      <x:c r="N8" s="167" t="str"/>
      <x:c r="O8" s="148" t="str"/>
    </x:row>
    <x:row r="9" ht="17.08984375" hidden="0" customHeight="1">
      <x:c r="N9" s="168"/>
    </x:row>
    <x:row r="10" ht="17.08984375" hidden="0" customHeight="1">
      <x:c r="N10" s="168"/>
    </x:row>
    <x:row r="11" ht="17.08984375" hidden="0" customHeight="1">
      <x:c r="N11" s="168"/>
    </x:row>
    <x:row r="12" ht="17.08984375" hidden="0" customHeight="1">
      <x:c r="N12" s="168"/>
    </x:row>
    <x:row r="13" ht="17.08984375" hidden="0" customHeight="1">
      <x:c r="N13" s="168"/>
    </x:row>
    <x:row r="14" ht="17.08984375" hidden="0" customHeight="1">
      <x:c r="N14" s="168"/>
    </x:row>
    <x:row r="15" ht="17.08984375" hidden="0" customHeight="1">
      <x:c r="N15" s="168"/>
    </x:row>
    <x:row r="16" ht="17.08984375" hidden="0" customHeight="1">
      <x:c r="N16" s="168"/>
    </x:row>
    <x:row r="17" ht="17.08984375" hidden="0" customHeight="1">
      <x:c r="N17" s="168"/>
    </x:row>
    <x:row r="18" ht="17.08984375" hidden="0" customHeight="1">
      <x:c r="N18" s="168"/>
    </x:row>
    <x:row r="19" ht="17.08984375" hidden="0" customHeight="1">
      <x:c r="N19" s="168"/>
    </x:row>
    <x:row r="20" ht="17.08984375" hidden="0" customHeight="1">
      <x:c r="N20" s="168"/>
    </x:row>
    <x:row r="21" ht="17.08984375" hidden="0" customHeight="1">
      <x:c r="N21" s="168"/>
    </x:row>
    <x:row r="22" ht="17.08984375" hidden="0" customHeight="1">
      <x:c r="N22" s="168"/>
    </x:row>
    <x:row r="23" ht="17.08984375" hidden="0" customHeight="1">
      <x:c r="N23" s="168"/>
    </x:row>
    <x:row r="24" ht="17.08984375" hidden="0" customHeight="1">
      <x:c r="N24" s="168"/>
    </x:row>
    <x:row r="25" ht="17.08984375" hidden="0" customHeight="1">
      <x:c r="N25" s="168"/>
    </x:row>
    <x:row r="26" ht="17.08984375" hidden="0" customHeight="1">
      <x:c r="N26" s="168"/>
    </x:row>
    <x:row r="27" ht="17.08984375" hidden="0" customHeight="1">
      <x:c r="N27" s="168"/>
    </x:row>
    <x:row r="28" ht="17.08984375" hidden="0" customHeight="1">
      <x:c r="N28" s="168"/>
    </x:row>
    <x:row r="29" ht="17.08984375" hidden="0" customHeight="1">
      <x:c r="N29" s="168"/>
    </x:row>
    <x:row r="30" ht="17.08984375" hidden="0" customHeight="1">
      <x:c r="N30" s="168"/>
    </x:row>
    <x:row r="31" ht="17.08984375" hidden="0" customHeight="1">
      <x:c r="N31" s="168"/>
    </x:row>
    <x:row r="32" ht="17.08984375" hidden="0" customHeight="1">
      <x:c r="N32" s="168"/>
    </x:row>
    <x:row r="33" ht="17.08984375" hidden="0" customHeight="1">
      <x:c r="N33" s="168"/>
    </x:row>
    <x:row r="34" ht="17.08984375" hidden="0" customHeight="1">
      <x:c r="N34" s="168"/>
    </x:row>
    <x:row r="35" ht="17.08984375" hidden="0" customHeight="1">
      <x:c r="N35" s="168"/>
    </x:row>
    <x:row r="36" ht="17.08984375" hidden="0" customHeight="1">
      <x:c r="N36" s="168"/>
    </x:row>
    <x:row r="37" ht="17.08984375" hidden="0" customHeight="1">
      <x:c r="N37" s="168"/>
    </x:row>
    <x:row r="38" ht="17.08984375" hidden="0" customHeight="1">
      <x:c r="N38" s="168"/>
    </x:row>
    <x:row r="39" ht="17.08984375" hidden="0" customHeight="1">
      <x:c r="N39" s="168"/>
    </x:row>
    <x:row r="40" ht="17.08984375" hidden="0" customHeight="1">
      <x:c r="N40" s="168"/>
    </x:row>
    <x:row r="41">
      <x:c r="N41" s="168"/>
    </x:row>
    <x:row r="42">
      <x:c r="N42" s="168"/>
    </x:row>
    <x:row r="43">
      <x:c r="N43" s="168"/>
    </x:row>
    <x:row r="44">
      <x:c r="N44" s="168"/>
    </x:row>
    <x:row r="45">
      <x:c r="N45" s="168"/>
    </x:row>
    <x:row r="46">
      <x:c r="N46" s="168"/>
    </x:row>
    <x:row r="47">
      <x:c r="N47" s="168"/>
    </x:row>
    <x:row r="48">
      <x:c r="N48" s="168"/>
    </x:row>
    <x:row r="49">
      <x:c r="N49" s="168"/>
    </x:row>
    <x:row r="50">
      <x:c r="N50" s="168"/>
    </x:row>
    <x:row r="51">
      <x:c r="N51" s="168"/>
    </x:row>
    <x:row r="52">
      <x:c r="N52" s="168"/>
    </x:row>
    <x:row r="53">
      <x:c r="N53" s="168"/>
    </x:row>
    <x:row r="54">
      <x:c r="N54" s="168"/>
    </x:row>
    <x:row r="55">
      <x:c r="N55" s="168"/>
    </x:row>
    <x:row r="56">
      <x:c r="N56" s="168"/>
    </x:row>
    <x:row r="57">
      <x:c r="N57" s="168"/>
    </x:row>
    <x:row r="58">
      <x:c r="N58" s="168"/>
    </x:row>
    <x:row r="59">
      <x:c r="N59" s="168"/>
    </x:row>
    <x:row r="60">
      <x:c r="N60" s="168"/>
    </x:row>
    <x:row r="61">
      <x:c r="N61" s="168"/>
    </x:row>
    <x:row r="62">
      <x:c r="N62" s="168"/>
    </x:row>
    <x:row r="63">
      <x:c r="N63" s="168"/>
    </x:row>
    <x:row r="64">
      <x:c r="N64" s="168"/>
    </x:row>
    <x:row r="65">
      <x:c r="N65" s="168"/>
    </x:row>
    <x:row r="66">
      <x:c r="N66" s="168"/>
    </x:row>
    <x:row r="67">
      <x:c r="N67" s="168"/>
    </x:row>
    <x:row r="68">
      <x:c r="N68" s="168"/>
    </x:row>
    <x:row r="69">
      <x:c r="N69" s="168"/>
    </x:row>
    <x:row r="70">
      <x:c r="N70" s="168"/>
    </x:row>
    <x:row r="71">
      <x:c r="N71" s="168"/>
    </x:row>
    <x:row r="72">
      <x:c r="N72" s="168"/>
    </x:row>
    <x:row r="73">
      <x:c r="N73" s="168"/>
    </x:row>
    <x:row r="74">
      <x:c r="N74" s="168"/>
    </x:row>
    <x:row r="75">
      <x:c r="N75" s="168"/>
    </x:row>
    <x:row r="76">
      <x:c r="N76" s="168"/>
    </x:row>
    <x:row r="77">
      <x:c r="N77" s="168"/>
    </x:row>
    <x:row r="78">
      <x:c r="N78" s="168"/>
    </x:row>
    <x:row r="79">
      <x:c r="N79" s="168"/>
    </x:row>
    <x:row r="80">
      <x:c r="N80" s="168"/>
    </x:row>
    <x:row r="81">
      <x:c r="N81" s="168"/>
    </x:row>
    <x:row r="82">
      <x:c r="N82" s="168"/>
    </x:row>
    <x:row r="83">
      <x:c r="N83" s="168"/>
    </x:row>
    <x:row r="84">
      <x:c r="N84" s="168"/>
    </x:row>
    <x:row r="85">
      <x:c r="N85" s="168"/>
    </x:row>
    <x:row r="86">
      <x:c r="N86" s="168"/>
    </x:row>
    <x:row r="87">
      <x:c r="N87" s="168"/>
    </x:row>
    <x:row r="88">
      <x:c r="N88" s="168"/>
    </x:row>
    <x:row r="89">
      <x:c r="N89" s="168"/>
    </x:row>
    <x:row r="90">
      <x:c r="N90" s="168"/>
    </x:row>
    <x:row r="91">
      <x:c r="N91" s="168"/>
    </x:row>
    <x:row r="92">
      <x:c r="N92" s="168"/>
    </x:row>
    <x:row r="93">
      <x:c r="N93" s="168"/>
    </x:row>
    <x:row r="94">
      <x:c r="N94" s="168"/>
    </x:row>
    <x:row r="95">
      <x:c r="N95" s="168"/>
    </x:row>
    <x:row r="96">
      <x:c r="N96" s="168"/>
    </x:row>
    <x:row r="97">
      <x:c r="N97" s="168"/>
    </x:row>
    <x:row r="98">
      <x:c r="N98" s="168"/>
    </x:row>
    <x:row r="99">
      <x:c r="N99" s="168"/>
    </x:row>
    <x:row r="100">
      <x:c r="N100" s="168"/>
    </x:row>
    <x:row r="101">
      <x:c r="N101" s="168"/>
    </x:row>
    <x:row r="102">
      <x:c r="N102" s="168"/>
    </x:row>
    <x:row r="103">
      <x:c r="N103" s="168"/>
    </x:row>
    <x:row r="104">
      <x:c r="N104" s="168"/>
    </x:row>
    <x:row r="105">
      <x:c r="N105" s="168"/>
    </x:row>
    <x:row r="106">
      <x:c r="N106" s="168"/>
    </x:row>
    <x:row r="107">
      <x:c r="N107" s="168"/>
    </x:row>
    <x:row r="108">
      <x:c r="N108" s="168"/>
    </x:row>
    <x:row r="109">
      <x:c r="N109" s="168"/>
    </x:row>
    <x:row r="110">
      <x:c r="N110" s="168"/>
    </x:row>
    <x:row r="111">
      <x:c r="N111" s="168"/>
    </x:row>
    <x:row r="112">
      <x:c r="N112" s="168"/>
    </x:row>
    <x:row r="113">
      <x:c r="N113" s="168"/>
    </x:row>
    <x:row r="114">
      <x:c r="N114" s="168"/>
    </x:row>
    <x:row r="115">
      <x:c r="N115" s="168"/>
    </x:row>
    <x:row r="116">
      <x:c r="N116" s="168"/>
    </x:row>
    <x:row r="117">
      <x:c r="N117" s="168"/>
    </x:row>
    <x:row r="118">
      <x:c r="N118" s="168"/>
    </x:row>
    <x:row r="119">
      <x:c r="N119" s="168"/>
    </x:row>
    <x:row r="120">
      <x:c r="N120" s="168"/>
    </x:row>
    <x:row r="121">
      <x:c r="N121" s="168"/>
    </x:row>
    <x:row r="122">
      <x:c r="N122" s="168"/>
    </x:row>
    <x:row r="123">
      <x:c r="N123" s="168"/>
    </x:row>
    <x:row r="124">
      <x:c r="N124" s="168"/>
    </x:row>
    <x:row r="125">
      <x:c r="N125" s="168"/>
    </x:row>
    <x:row r="126">
      <x:c r="N126" s="168"/>
    </x:row>
    <x:row r="127">
      <x:c r="N127" s="168"/>
    </x:row>
    <x:row r="128">
      <x:c r="N128" s="168"/>
    </x:row>
    <x:row r="129">
      <x:c r="N129" s="168"/>
    </x:row>
    <x:row r="130">
      <x:c r="N130" s="168"/>
    </x:row>
    <x:row r="131">
      <x:c r="N131" s="168"/>
    </x:row>
    <x:row r="132">
      <x:c r="N132" s="168"/>
    </x:row>
    <x:row r="133">
      <x:c r="N133" s="168"/>
    </x:row>
    <x:row r="134">
      <x:c r="N134" s="168"/>
    </x:row>
    <x:row r="135">
      <x:c r="N135" s="168"/>
    </x:row>
    <x:row r="136">
      <x:c r="N136" s="168"/>
    </x:row>
    <x:row r="137">
      <x:c r="N137" s="168"/>
    </x:row>
    <x:row r="138">
      <x:c r="N138" s="168"/>
    </x:row>
    <x:row r="139">
      <x:c r="N139" s="168"/>
    </x:row>
    <x:row r="140">
      <x:c r="N140" s="168"/>
    </x:row>
    <x:row r="141">
      <x:c r="N141" s="168"/>
    </x:row>
    <x:row r="142">
      <x:c r="N142" s="168"/>
    </x:row>
    <x:row r="143">
      <x:c r="N143" s="168"/>
    </x:row>
    <x:row r="144">
      <x:c r="N144" s="168"/>
    </x:row>
    <x:row r="145">
      <x:c r="N145" s="168"/>
    </x:row>
    <x:row r="146">
      <x:c r="N146" s="168"/>
    </x:row>
    <x:row r="147">
      <x:c r="N147" s="168"/>
    </x:row>
    <x:row r="148">
      <x:c r="N148" s="168"/>
    </x:row>
    <x:row r="149">
      <x:c r="N149" s="168"/>
    </x:row>
    <x:row r="150">
      <x:c r="N150" s="168"/>
    </x:row>
    <x:row r="151">
      <x:c r="N151" s="168"/>
    </x:row>
    <x:row r="152">
      <x:c r="N152" s="168"/>
    </x:row>
    <x:row r="153">
      <x:c r="N153" s="168"/>
    </x:row>
    <x:row r="154">
      <x:c r="N154" s="168"/>
    </x:row>
    <x:row r="155">
      <x:c r="N155" s="168"/>
    </x:row>
    <x:row r="156">
      <x:c r="N156" s="168"/>
    </x:row>
    <x:row r="157">
      <x:c r="N157" s="168"/>
    </x:row>
    <x:row r="158">
      <x:c r="N158" s="168"/>
    </x:row>
    <x:row r="159">
      <x:c r="N159" s="168"/>
    </x:row>
    <x:row r="160">
      <x:c r="N160" s="168"/>
    </x:row>
    <x:row r="161">
      <x:c r="N161" s="168"/>
    </x:row>
    <x:row r="162">
      <x:c r="N162" s="168"/>
    </x:row>
    <x:row r="163">
      <x:c r="N163" s="168"/>
    </x:row>
    <x:row r="164">
      <x:c r="N164" s="168"/>
    </x:row>
    <x:row r="165">
      <x:c r="N165" s="168"/>
    </x:row>
    <x:row r="166">
      <x:c r="N166" s="168"/>
    </x:row>
    <x:row r="167">
      <x:c r="N167" s="168"/>
    </x:row>
    <x:row r="168">
      <x:c r="N168" s="168"/>
    </x:row>
    <x:row r="169">
      <x:c r="N169" s="168"/>
    </x:row>
    <x:row r="170">
      <x:c r="N170" s="168"/>
    </x:row>
    <x:row r="171">
      <x:c r="N171" s="168"/>
    </x:row>
    <x:row r="172">
      <x:c r="N172" s="168"/>
    </x:row>
    <x:row r="173">
      <x:c r="N173" s="168"/>
    </x:row>
    <x:row r="174">
      <x:c r="N174" s="168"/>
    </x:row>
    <x:row r="175">
      <x:c r="N175" s="168"/>
    </x:row>
    <x:row r="176">
      <x:c r="N176" s="168"/>
    </x:row>
    <x:row r="177">
      <x:c r="N177" s="168"/>
    </x:row>
    <x:row r="178">
      <x:c r="N178" s="168"/>
    </x:row>
    <x:row r="179">
      <x:c r="N179" s="168"/>
    </x:row>
    <x:row r="180">
      <x:c r="N180" s="168"/>
    </x:row>
    <x:row r="181">
      <x:c r="N181" s="168"/>
    </x:row>
    <x:row r="182">
      <x:c r="N182" s="168"/>
    </x:row>
    <x:row r="183">
      <x:c r="N183" s="168"/>
    </x:row>
    <x:row r="184">
      <x:c r="N184" s="168"/>
    </x:row>
    <x:row r="185">
      <x:c r="N185" s="168"/>
    </x:row>
    <x:row r="186">
      <x:c r="N186" s="168"/>
    </x:row>
    <x:row r="187">
      <x:c r="N187" s="168"/>
    </x:row>
    <x:row r="188">
      <x:c r="N188" s="168"/>
    </x:row>
    <x:row r="189">
      <x:c r="N189" s="168"/>
    </x:row>
    <x:row r="190">
      <x:c r="N190" s="168"/>
    </x:row>
    <x:row r="191">
      <x:c r="N191" s="168"/>
    </x:row>
    <x:row r="192">
      <x:c r="N192" s="168"/>
    </x:row>
    <x:row r="193">
      <x:c r="N193" s="168"/>
    </x:row>
    <x:row r="194">
      <x:c r="N194" s="168"/>
    </x:row>
    <x:row r="195">
      <x:c r="N195" s="168"/>
    </x:row>
    <x:row r="196">
      <x:c r="N196" s="168"/>
    </x:row>
    <x:row r="197">
      <x:c r="N197" s="168"/>
    </x:row>
    <x:row r="198">
      <x:c r="N198" s="168"/>
    </x:row>
    <x:row r="199">
      <x:c r="N199" s="168"/>
    </x:row>
    <x:row r="200">
      <x:c r="N200" s="168"/>
    </x:row>
  </x:sheetData>
  <x:mergeCells>
    <x:mergeCell ref="A1:O1"/>
    <x:mergeCell ref="A2:O2"/>
  </x:mergeCells>
  <x:conditionalFormatting sqref="N5:N200">
    <x:cfRule type="dataBar" priority="1">
      <x:dataBar>
        <x:cfvo type="min"/>
        <x:cfvo type="max"/>
        <x:color rgb="0F766E"/>
      </x:dataBar>
    </x:cfRule>
  </x:conditionalFormatting>
  <x:conditionalFormatting sqref="G5:G200">
    <x:cfRule type="expression" dxfId="18" priority="2">
      <x:formula>G5="Negative"</x:formula>
    </x:cfRule>
    <x:cfRule type="expression" dxfId="19" priority="3">
      <x:formula>G5="Positive"</x:formula>
    </x:cfRule>
  </x:conditionalFormatting>
  <x:dataValidations count="4">
    <x:dataValidation type="list" sqref="G5:G200">
      <x:formula1>"Positive,Negative,Mixed,Neutral"</x:formula1>
    </x:dataValidation>
    <x:dataValidation type="list" sqref="H5:H200">
      <x:formula1>"High,Moderate,Low"</x:formula1>
    </x:dataValidation>
    <x:dataValidation type="list" sqref="I5:I200">
      <x:formula1>"High,Moderate,Low"</x:formula1>
    </x:dataValidation>
    <x:dataValidation type="list" sqref="O5:O2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574bfdbe66642f9"/>
  </x:tableParts>
</x:worksheet>
</file>

<file path=xl/worksheets/sheet3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22" hidden="0" customWidth="1"/>
    <x:col min="4" max="4" width="12" hidden="0" customWidth="1"/>
    <x:col min="5" max="5" width="12" hidden="0" customWidth="1"/>
    <x:col min="6" max="6" width="12" hidden="0" customWidth="1"/>
    <x:col min="7" max="7" width="14" hidden="0" customWidth="1"/>
    <x:col min="8" max="8" width="13" hidden="0" customWidth="1"/>
    <x:col min="9" max="9" width="18" hidden="0" customWidth="1"/>
    <x:col min="10" max="10" width="42" hidden="0" customWidth="1"/>
  </x:cols>
  <x:sheetData>
    <x:row r="1" ht="17.08984375" hidden="0" customHeight="1">
      <x:c r="A1" s="114" t="str">
        <x:v>Traceability Map</x:v>
      </x:c>
    </x:row>
    <x:row r="2" ht="119.62890625" hidden="0" customHeight="1">
      <x:c r="A2" s="118" t="str">
        <x:v>Audit chain from belief bridge to statement to evidence to BAOS to exported CIOS signal.</x:v>
      </x:c>
    </x:row>
    <x:row r="4" ht="34.1796875" hidden="0" customHeight="1">
      <x:c r="A4" s="127" t="str">
        <x:v>ProgramID</x:v>
      </x:c>
      <x:c r="B4" s="159" t="str">
        <x:v>BridgeID</x:v>
      </x:c>
      <x:c r="C4" s="159" t="str">
        <x:v>StatementID</x:v>
      </x:c>
      <x:c r="D4" s="159" t="str">
        <x:v>EvidenceID</x:v>
      </x:c>
      <x:c r="E4" s="159" t="str">
        <x:v>BAOSID</x:v>
      </x:c>
      <x:c r="F4" s="159" t="str">
        <x:v>SignalID</x:v>
      </x:c>
      <x:c r="G4" s="159" t="str">
        <x:v>TraceStatus</x:v>
      </x:c>
      <x:c r="H4" s="159" t="str">
        <x:v>LastReviewed</x:v>
      </x:c>
      <x:c r="I4" s="159" t="str">
        <x:v>Owner</x:v>
      </x:c>
      <x:c r="J4" s="128" t="str">
        <x:v>Notes</x:v>
      </x:c>
    </x:row>
    <x:row r="5" ht="34.1796875" hidden="0" customHeight="1">
      <x:c r="A5" s="143" t="str">
        <x:v>HIV_LAI_LAUNCH</x:v>
      </x:c>
      <x:c r="B5" s="164" t="str">
        <x:v>BR01</x:v>
      </x:c>
      <x:c r="C5" s="164" t="str">
        <x:v>HIV_LAI_LAUNCH_ST01</x:v>
      </x:c>
      <x:c r="D5" s="164" t="str">
        <x:v>EV01</x:v>
      </x:c>
      <x:c r="E5" s="164" t="str"/>
      <x:c r="F5" s="164" t="str">
        <x:v>SIG_HIV_01</x:v>
      </x:c>
      <x:c r="G5" s="164" t="str">
        <x:v>Complete</x:v>
      </x:c>
      <x:c r="H5" s="169" t="str">
        <x:v>2026-03-13</x:v>
      </x:c>
      <x:c r="I5" s="164" t="str">
        <x:v>Medical Strategy</x:v>
      </x:c>
      <x:c r="J5" s="144" t="str">
        <x:v>Direct bridge -&gt; statement -&gt; evidence -&gt; signal</x:v>
      </x:c>
    </x:row>
    <x:row r="6" ht="34.1796875" hidden="0" customHeight="1">
      <x:c r="A6" s="145" t="str">
        <x:v>HIV_LAI_LAUNCH</x:v>
      </x:c>
      <x:c r="B6" s="173" t="str">
        <x:v>BR02</x:v>
      </x:c>
      <x:c r="C6" s="173" t="str">
        <x:v>HIV_LAI_LAUNCH_ST02</x:v>
      </x:c>
      <x:c r="D6" s="173" t="str">
        <x:v>EV02</x:v>
      </x:c>
      <x:c r="E6" s="173" t="str"/>
      <x:c r="F6" s="173" t="str">
        <x:v>SIG_HIV_02</x:v>
      </x:c>
      <x:c r="G6" s="173" t="str">
        <x:v>Complete</x:v>
      </x:c>
      <x:c r="H6" s="186" t="str">
        <x:v>2026-03-13</x:v>
      </x:c>
      <x:c r="I6" s="173" t="str">
        <x:v>Medical Strategy</x:v>
      </x:c>
      <x:c r="J6" s="146" t="str">
        <x:v>Direct bridge -&gt; statement -&gt; evidence -&gt; signal</x:v>
      </x:c>
    </x:row>
    <x:row r="7" ht="34.1796875" hidden="0" customHeight="1">
      <x:c r="A7" s="145" t="str">
        <x:v>HIV_LAI_LAUNCH</x:v>
      </x:c>
      <x:c r="B7" s="173" t="str">
        <x:v>BR03</x:v>
      </x:c>
      <x:c r="C7" s="173" t="str">
        <x:v>HIV_LAI_LAUNCH_ST03</x:v>
      </x:c>
      <x:c r="D7" s="173" t="str">
        <x:v>EV03</x:v>
      </x:c>
      <x:c r="E7" s="173" t="str">
        <x:v>BAOS_01</x:v>
      </x:c>
      <x:c r="F7" s="173" t="str">
        <x:v>SIG_HIV_03</x:v>
      </x:c>
      <x:c r="G7" s="173" t="str">
        <x:v>Complete</x:v>
      </x:c>
      <x:c r="H7" s="186" t="str">
        <x:v>2026-03-13</x:v>
      </x:c>
      <x:c r="I7" s="173" t="str">
        <x:v>Medical Strategy</x:v>
      </x:c>
      <x:c r="J7" s="146" t="str">
        <x:v>Bridge routed through BAOS before export due to operational objection.</x:v>
      </x:c>
    </x:row>
    <x:row r="8" ht="17.08984375" hidden="0" customHeight="1">
      <x:c r="A8" s="147" t="str"/>
      <x:c r="B8" s="165" t="str"/>
      <x:c r="C8" s="165" t="str"/>
      <x:c r="D8" s="165" t="str"/>
      <x:c r="E8" s="165" t="str"/>
      <x:c r="F8" s="165" t="str"/>
      <x:c r="G8" s="165" t="str"/>
      <x:c r="H8" s="170" t="str"/>
      <x:c r="I8" s="165" t="str"/>
      <x:c r="J8" s="148" t="str"/>
    </x:row>
    <x:row r="9" ht="17.08984375" hidden="0" customHeight="1">
      <x:c r="H9" s="100"/>
    </x:row>
    <x:row r="10" ht="17.08984375" hidden="0" customHeight="1">
      <x:c r="H10" s="100"/>
    </x:row>
    <x:row r="11" ht="17.08984375" hidden="0" customHeight="1">
      <x:c r="H11" s="100"/>
    </x:row>
    <x:row r="12" ht="17.08984375" hidden="0" customHeight="1">
      <x:c r="H12" s="100"/>
    </x:row>
    <x:row r="13" ht="17.08984375" hidden="0" customHeight="1">
      <x:c r="H13" s="100"/>
    </x:row>
    <x:row r="14" ht="17.08984375" hidden="0" customHeight="1">
      <x:c r="H14" s="100"/>
    </x:row>
    <x:row r="15" ht="17.08984375" hidden="0" customHeight="1">
      <x:c r="H15" s="100"/>
    </x:row>
    <x:row r="16" ht="17.08984375" hidden="0" customHeight="1">
      <x:c r="H16" s="100"/>
    </x:row>
    <x:row r="17" ht="17.08984375" hidden="0" customHeight="1">
      <x:c r="H17" s="100"/>
    </x:row>
    <x:row r="18" ht="17.08984375" hidden="0" customHeight="1">
      <x:c r="H18" s="100"/>
    </x:row>
    <x:row r="19" ht="17.08984375" hidden="0" customHeight="1">
      <x:c r="H19" s="100"/>
    </x:row>
    <x:row r="20" ht="17.08984375" hidden="0" customHeight="1">
      <x:c r="H20" s="100"/>
    </x:row>
    <x:row r="21" ht="17.08984375" hidden="0" customHeight="1">
      <x:c r="H21" s="100"/>
    </x:row>
    <x:row r="22" ht="17.08984375" hidden="0" customHeight="1">
      <x:c r="H22" s="100"/>
    </x:row>
    <x:row r="23" ht="17.08984375" hidden="0" customHeight="1">
      <x:c r="H23" s="100"/>
    </x:row>
    <x:row r="24" ht="17.08984375" hidden="0" customHeight="1">
      <x:c r="H24" s="100"/>
    </x:row>
    <x:row r="25" ht="17.08984375" hidden="0" customHeight="1">
      <x:c r="H25" s="100"/>
    </x:row>
    <x:row r="26" ht="17.08984375" hidden="0" customHeight="1">
      <x:c r="H26" s="100"/>
    </x:row>
    <x:row r="27" ht="17.08984375" hidden="0" customHeight="1">
      <x:c r="H27" s="100"/>
    </x:row>
    <x:row r="28" ht="17.08984375" hidden="0" customHeight="1">
      <x:c r="H28" s="100"/>
    </x:row>
    <x:row r="29" ht="17.08984375" hidden="0" customHeight="1">
      <x:c r="H29" s="100"/>
    </x:row>
    <x:row r="30" ht="17.08984375" hidden="0" customHeight="1">
      <x:c r="H30" s="100"/>
    </x:row>
    <x:row r="31" ht="17.08984375" hidden="0" customHeight="1">
      <x:c r="H31" s="100"/>
    </x:row>
    <x:row r="32" ht="17.08984375" hidden="0" customHeight="1">
      <x:c r="H32" s="100"/>
    </x:row>
    <x:row r="33" ht="17.08984375" hidden="0" customHeight="1">
      <x:c r="H33" s="100"/>
    </x:row>
    <x:row r="34" ht="17.08984375" hidden="0" customHeight="1">
      <x:c r="H34" s="100"/>
    </x:row>
    <x:row r="35" ht="17.08984375" hidden="0" customHeight="1">
      <x:c r="H35" s="100"/>
    </x:row>
    <x:row r="36" ht="17.08984375" hidden="0" customHeight="1">
      <x:c r="H36" s="100"/>
    </x:row>
    <x:row r="37" ht="17.08984375" hidden="0" customHeight="1">
      <x:c r="H37" s="100"/>
    </x:row>
    <x:row r="38" ht="17.08984375" hidden="0" customHeight="1">
      <x:c r="H38" s="100"/>
    </x:row>
    <x:row r="39" ht="17.08984375" hidden="0" customHeight="1">
      <x:c r="H39" s="100"/>
    </x:row>
    <x:row r="40" ht="17.08984375" hidden="0" customHeight="1">
      <x:c r="H40" s="100"/>
    </x:row>
    <x:row r="41">
      <x:c r="H41" s="100"/>
    </x:row>
    <x:row r="42">
      <x:c r="H42" s="100"/>
    </x:row>
    <x:row r="43">
      <x:c r="H43" s="100"/>
    </x:row>
    <x:row r="44">
      <x:c r="H44" s="100"/>
    </x:row>
    <x:row r="45">
      <x:c r="H45" s="100"/>
    </x:row>
    <x:row r="46">
      <x:c r="H46" s="100"/>
    </x:row>
    <x:row r="47">
      <x:c r="H47" s="100"/>
    </x:row>
    <x:row r="48">
      <x:c r="H48" s="100"/>
    </x:row>
    <x:row r="49">
      <x:c r="H49" s="100"/>
    </x:row>
    <x:row r="50">
      <x:c r="H50" s="100"/>
    </x:row>
    <x:row r="51">
      <x:c r="H51" s="100"/>
    </x:row>
    <x:row r="52">
      <x:c r="H52" s="100"/>
    </x:row>
    <x:row r="53">
      <x:c r="H53" s="100"/>
    </x:row>
    <x:row r="54">
      <x:c r="H54" s="100"/>
    </x:row>
    <x:row r="55">
      <x:c r="H55" s="100"/>
    </x:row>
    <x:row r="56">
      <x:c r="H56" s="100"/>
    </x:row>
    <x:row r="57">
      <x:c r="H57" s="100"/>
    </x:row>
    <x:row r="58">
      <x:c r="H58" s="100"/>
    </x:row>
    <x:row r="59">
      <x:c r="H59" s="100"/>
    </x:row>
    <x:row r="60">
      <x:c r="H60" s="100"/>
    </x:row>
    <x:row r="61">
      <x:c r="H61" s="100"/>
    </x:row>
    <x:row r="62">
      <x:c r="H62" s="100"/>
    </x:row>
    <x:row r="63">
      <x:c r="H63" s="100"/>
    </x:row>
    <x:row r="64">
      <x:c r="H64" s="100"/>
    </x:row>
    <x:row r="65">
      <x:c r="H65" s="100"/>
    </x:row>
    <x:row r="66">
      <x:c r="H66" s="100"/>
    </x:row>
    <x:row r="67">
      <x:c r="H67" s="100"/>
    </x:row>
    <x:row r="68">
      <x:c r="H68" s="100"/>
    </x:row>
    <x:row r="69">
      <x:c r="H69" s="100"/>
    </x:row>
    <x:row r="70">
      <x:c r="H70" s="100"/>
    </x:row>
    <x:row r="71">
      <x:c r="H71" s="100"/>
    </x:row>
    <x:row r="72">
      <x:c r="H72" s="100"/>
    </x:row>
    <x:row r="73">
      <x:c r="H73" s="100"/>
    </x:row>
    <x:row r="74">
      <x:c r="H74" s="100"/>
    </x:row>
    <x:row r="75">
      <x:c r="H75" s="100"/>
    </x:row>
    <x:row r="76">
      <x:c r="H76" s="100"/>
    </x:row>
    <x:row r="77">
      <x:c r="H77" s="100"/>
    </x:row>
    <x:row r="78">
      <x:c r="H78" s="100"/>
    </x:row>
    <x:row r="79">
      <x:c r="H79" s="100"/>
    </x:row>
    <x:row r="80">
      <x:c r="H80" s="100"/>
    </x:row>
    <x:row r="81">
      <x:c r="H81" s="100"/>
    </x:row>
    <x:row r="82">
      <x:c r="H82" s="100"/>
    </x:row>
    <x:row r="83">
      <x:c r="H83" s="100"/>
    </x:row>
    <x:row r="84">
      <x:c r="H84" s="100"/>
    </x:row>
    <x:row r="85">
      <x:c r="H85" s="100"/>
    </x:row>
    <x:row r="86">
      <x:c r="H86" s="100"/>
    </x:row>
    <x:row r="87">
      <x:c r="H87" s="100"/>
    </x:row>
    <x:row r="88">
      <x:c r="H88" s="100"/>
    </x:row>
    <x:row r="89">
      <x:c r="H89" s="100"/>
    </x:row>
    <x:row r="90">
      <x:c r="H90" s="100"/>
    </x:row>
    <x:row r="91">
      <x:c r="H91" s="100"/>
    </x:row>
    <x:row r="92">
      <x:c r="H92" s="100"/>
    </x:row>
    <x:row r="93">
      <x:c r="H93" s="100"/>
    </x:row>
    <x:row r="94">
      <x:c r="H94" s="100"/>
    </x:row>
    <x:row r="95">
      <x:c r="H95" s="100"/>
    </x:row>
    <x:row r="96">
      <x:c r="H96" s="100"/>
    </x:row>
    <x:row r="97">
      <x:c r="H97" s="100"/>
    </x:row>
    <x:row r="98">
      <x:c r="H98" s="100"/>
    </x:row>
    <x:row r="99">
      <x:c r="H99" s="100"/>
    </x:row>
    <x:row r="100">
      <x:c r="H100" s="100"/>
    </x:row>
    <x:row r="101">
      <x:c r="H101" s="100"/>
    </x:row>
    <x:row r="102">
      <x:c r="H102" s="100"/>
    </x:row>
    <x:row r="103">
      <x:c r="H103" s="100"/>
    </x:row>
    <x:row r="104">
      <x:c r="H104" s="100"/>
    </x:row>
    <x:row r="105">
      <x:c r="H105" s="100"/>
    </x:row>
    <x:row r="106">
      <x:c r="H106" s="100"/>
    </x:row>
    <x:row r="107">
      <x:c r="H107" s="100"/>
    </x:row>
    <x:row r="108">
      <x:c r="H108" s="100"/>
    </x:row>
    <x:row r="109">
      <x:c r="H109" s="100"/>
    </x:row>
    <x:row r="110">
      <x:c r="H110" s="100"/>
    </x:row>
    <x:row r="111">
      <x:c r="H111" s="100"/>
    </x:row>
    <x:row r="112">
      <x:c r="H112" s="100"/>
    </x:row>
    <x:row r="113">
      <x:c r="H113" s="100"/>
    </x:row>
    <x:row r="114">
      <x:c r="H114" s="100"/>
    </x:row>
    <x:row r="115">
      <x:c r="H115" s="100"/>
    </x:row>
    <x:row r="116">
      <x:c r="H116" s="100"/>
    </x:row>
    <x:row r="117">
      <x:c r="H117" s="100"/>
    </x:row>
    <x:row r="118">
      <x:c r="H118" s="100"/>
    </x:row>
    <x:row r="119">
      <x:c r="H119" s="100"/>
    </x:row>
    <x:row r="120">
      <x:c r="H120" s="100"/>
    </x:row>
    <x:row r="121">
      <x:c r="H121" s="100"/>
    </x:row>
    <x:row r="122">
      <x:c r="H122" s="100"/>
    </x:row>
    <x:row r="123">
      <x:c r="H123" s="100"/>
    </x:row>
    <x:row r="124">
      <x:c r="H124" s="100"/>
    </x:row>
    <x:row r="125">
      <x:c r="H125" s="100"/>
    </x:row>
    <x:row r="126">
      <x:c r="H126" s="100"/>
    </x:row>
    <x:row r="127">
      <x:c r="H127" s="100"/>
    </x:row>
    <x:row r="128">
      <x:c r="H128" s="100"/>
    </x:row>
    <x:row r="129">
      <x:c r="H129" s="100"/>
    </x:row>
    <x:row r="130">
      <x:c r="H130" s="100"/>
    </x:row>
    <x:row r="131">
      <x:c r="H131" s="100"/>
    </x:row>
    <x:row r="132">
      <x:c r="H132" s="100"/>
    </x:row>
    <x:row r="133">
      <x:c r="H133" s="100"/>
    </x:row>
    <x:row r="134">
      <x:c r="H134" s="100"/>
    </x:row>
    <x:row r="135">
      <x:c r="H135" s="100"/>
    </x:row>
    <x:row r="136">
      <x:c r="H136" s="100"/>
    </x:row>
    <x:row r="137">
      <x:c r="H137" s="100"/>
    </x:row>
    <x:row r="138">
      <x:c r="H138" s="100"/>
    </x:row>
    <x:row r="139">
      <x:c r="H139" s="100"/>
    </x:row>
    <x:row r="140">
      <x:c r="H140" s="100"/>
    </x:row>
    <x:row r="141">
      <x:c r="H141" s="100"/>
    </x:row>
    <x:row r="142">
      <x:c r="H142" s="100"/>
    </x:row>
    <x:row r="143">
      <x:c r="H143" s="100"/>
    </x:row>
    <x:row r="144">
      <x:c r="H144" s="100"/>
    </x:row>
    <x:row r="145">
      <x:c r="H145" s="100"/>
    </x:row>
    <x:row r="146">
      <x:c r="H146" s="100"/>
    </x:row>
    <x:row r="147">
      <x:c r="H147" s="100"/>
    </x:row>
    <x:row r="148">
      <x:c r="H148" s="100"/>
    </x:row>
    <x:row r="149">
      <x:c r="H149" s="100"/>
    </x:row>
    <x:row r="150">
      <x:c r="H150" s="100"/>
    </x:row>
    <x:row r="151">
      <x:c r="H151" s="100"/>
    </x:row>
    <x:row r="152">
      <x:c r="H152" s="100"/>
    </x:row>
    <x:row r="153">
      <x:c r="H153" s="100"/>
    </x:row>
    <x:row r="154">
      <x:c r="H154" s="100"/>
    </x:row>
    <x:row r="155">
      <x:c r="H155" s="100"/>
    </x:row>
    <x:row r="156">
      <x:c r="H156" s="100"/>
    </x:row>
    <x:row r="157">
      <x:c r="H157" s="100"/>
    </x:row>
    <x:row r="158">
      <x:c r="H158" s="100"/>
    </x:row>
    <x:row r="159">
      <x:c r="H159" s="100"/>
    </x:row>
    <x:row r="160">
      <x:c r="H160" s="100"/>
    </x:row>
    <x:row r="161">
      <x:c r="H161" s="100"/>
    </x:row>
    <x:row r="162">
      <x:c r="H162" s="100"/>
    </x:row>
    <x:row r="163">
      <x:c r="H163" s="100"/>
    </x:row>
    <x:row r="164">
      <x:c r="H164" s="100"/>
    </x:row>
    <x:row r="165">
      <x:c r="H165" s="100"/>
    </x:row>
    <x:row r="166">
      <x:c r="H166" s="100"/>
    </x:row>
    <x:row r="167">
      <x:c r="H167" s="100"/>
    </x:row>
    <x:row r="168">
      <x:c r="H168" s="100"/>
    </x:row>
    <x:row r="169">
      <x:c r="H169" s="100"/>
    </x:row>
    <x:row r="170">
      <x:c r="H170" s="100"/>
    </x:row>
    <x:row r="171">
      <x:c r="H171" s="100"/>
    </x:row>
    <x:row r="172">
      <x:c r="H172" s="100"/>
    </x:row>
    <x:row r="173">
      <x:c r="H173" s="100"/>
    </x:row>
    <x:row r="174">
      <x:c r="H174" s="100"/>
    </x:row>
    <x:row r="175">
      <x:c r="H175" s="100"/>
    </x:row>
    <x:row r="176">
      <x:c r="H176" s="100"/>
    </x:row>
    <x:row r="177">
      <x:c r="H177" s="100"/>
    </x:row>
    <x:row r="178">
      <x:c r="H178" s="100"/>
    </x:row>
    <x:row r="179">
      <x:c r="H179" s="100"/>
    </x:row>
    <x:row r="180">
      <x:c r="H180" s="100"/>
    </x:row>
    <x:row r="181">
      <x:c r="H181" s="100"/>
    </x:row>
    <x:row r="182">
      <x:c r="H182" s="100"/>
    </x:row>
    <x:row r="183">
      <x:c r="H183" s="100"/>
    </x:row>
    <x:row r="184">
      <x:c r="H184" s="100"/>
    </x:row>
    <x:row r="185">
      <x:c r="H185" s="100"/>
    </x:row>
    <x:row r="186">
      <x:c r="H186" s="100"/>
    </x:row>
    <x:row r="187">
      <x:c r="H187" s="100"/>
    </x:row>
    <x:row r="188">
      <x:c r="H188" s="100"/>
    </x:row>
    <x:row r="189">
      <x:c r="H189" s="100"/>
    </x:row>
    <x:row r="190">
      <x:c r="H190" s="100"/>
    </x:row>
    <x:row r="191">
      <x:c r="H191" s="100"/>
    </x:row>
    <x:row r="192">
      <x:c r="H192" s="100"/>
    </x:row>
    <x:row r="193">
      <x:c r="H193" s="100"/>
    </x:row>
    <x:row r="194">
      <x:c r="H194" s="100"/>
    </x:row>
    <x:row r="195">
      <x:c r="H195" s="100"/>
    </x:row>
    <x:row r="196">
      <x:c r="H196" s="100"/>
    </x:row>
    <x:row r="197">
      <x:c r="H197" s="100"/>
    </x:row>
    <x:row r="198">
      <x:c r="H198" s="100"/>
    </x:row>
    <x:row r="199">
      <x:c r="H199" s="100"/>
    </x:row>
    <x:row r="200">
      <x:c r="H200" s="100"/>
    </x:row>
  </x:sheetData>
  <x:mergeCells>
    <x:mergeCell ref="A1:J1"/>
    <x:mergeCell ref="A2:J2"/>
  </x:mergeCells>
  <x:dataValidations count="1">
    <x:dataValidation type="list" sqref="G5:G200">
      <x:formula1>"Complete,Partial,Missing"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d9050be86434933"/>
  </x:tableParts>
</x:worksheet>
</file>

<file path=xl/worksheets/sheet4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4" max="4" width="24" hidden="0" customWidth="1"/>
    <x:col min="5" max="5" width="12" hidden="0" customWidth="1"/>
    <x:col min="6" max="6" width="24" hidden="0" customWidth="1"/>
  </x:cols>
  <x:sheetData>
    <x:row r="1" ht="17.08984375" hidden="0" customHeight="1">
      <x:c r="A1" s="114" t="str">
        <x:v>CIOS Readiness Dashboard</x:v>
      </x:c>
    </x:row>
    <x:row r="2" ht="85.44921875" hidden="0" customHeight="1">
      <x:c r="A2" s="118" t="str">
        <x:v>Quick status check for whether a program has enough MIOS and BAOS structure to export signals cleanly into CIOS.</x:v>
      </x:c>
    </x:row>
    <x:row r="4" ht="17.08984375" hidden="0" customHeight="1">
      <x:c r="A4" s="127" t="str">
        <x:v>Metric</x:v>
      </x:c>
      <x:c r="B4" s="128" t="str">
        <x:v>Value</x:v>
      </x:c>
      <x:c r="D4" t="str">
        <x:v>Readiness check</x:v>
      </x:c>
      <x:c r="E4"/>
      <x:c r="F4"/>
      <x:c r="G4"/>
      <x:c r="H4"/>
    </x:row>
    <x:row r="5" ht="17.08984375" hidden="0" customHeight="1">
      <x:c r="A5" s="143" t="str">
        <x:v>Active programs</x:v>
      </x:c>
      <x:c r="B5" s="187" t="n">
        <x:f>COUNTIF(Program_Header!N5:N200,"Yes")</x:f>
        <x:v>1</x:v>
      </x:c>
      <x:c r="D5" s="127" t="str">
        <x:v>Rule</x:v>
      </x:c>
      <x:c r="E5" s="128" t="str">
        <x:v>Pass?</x:v>
      </x:c>
      <x:c r="F5" t="str">
        <x:v>Logic</x:v>
      </x:c>
      <x:c r="G5"/>
      <x:c r="H5"/>
    </x:row>
    <x:row r="6" ht="34.1796875" hidden="0" customHeight="1">
      <x:c r="A6" s="145" t="str">
        <x:v>Bridges included in forecast</x:v>
      </x:c>
      <x:c r="B6" s="188" t="n">
        <x:f>COUNTIF(Belief_Bridge!K5:K200,"Yes")</x:f>
        <x:v>3</x:v>
      </x:c>
      <x:c r="D6" s="143" t="str">
        <x:v>Belief bridge exists</x:v>
      </x:c>
      <x:c r="E6" s="164" t="str">
        <x:f>IF(B6&gt;0,"Yes","No")</x:f>
        <x:v>Yes</x:v>
      </x:c>
      <x:c r="F6" s="144" t="str">
        <x:v>At least one included bridge</x:v>
      </x:c>
      <x:c r="G6"/>
      <x:c r="H6"/>
    </x:row>
    <x:row r="7" ht="34.1796875" hidden="0" customHeight="1">
      <x:c r="A7" s="145" t="str">
        <x:v>Approved statements</x:v>
      </x:c>
      <x:c r="B7" s="188" t="n">
        <x:f>COUNTIF(Statement_Blueprint!K5:K200,"Approved")</x:f>
        <x:v>2</x:v>
      </x:c>
      <x:c r="D7" s="145" t="str">
        <x:v>Statements approved</x:v>
      </x:c>
      <x:c r="E7" s="173" t="str">
        <x:f>IF(B7&gt;0,"Yes","No")</x:f>
        <x:v>Yes</x:v>
      </x:c>
      <x:c r="F7" s="146" t="str">
        <x:v>At least one approved statement</x:v>
      </x:c>
      <x:c r="G7"/>
      <x:c r="H7"/>
    </x:row>
    <x:row r="8" ht="34.1796875" hidden="0" customHeight="1">
      <x:c r="A8" s="145" t="str">
        <x:v>Evidence rows logged</x:v>
      </x:c>
      <x:c r="B8" s="188" t="n">
        <x:f>COUNTA(Evidence_Register!D5:D200)</x:f>
        <x:v>4</x:v>
      </x:c>
      <x:c r="D8" s="145" t="str">
        <x:v>Evidence interpreted</x:v>
      </x:c>
      <x:c r="E8" s="173" t="str">
        <x:f>IF(B9&gt;0,"Yes","No")</x:f>
        <x:v>Yes</x:v>
      </x:c>
      <x:c r="F8" s="146" t="str">
        <x:v>Interpretation rows included</x:v>
      </x:c>
      <x:c r="G8"/>
      <x:c r="H8"/>
    </x:row>
    <x:row r="9" ht="34.1796875" hidden="0" customHeight="1">
      <x:c r="A9" s="145" t="str">
        <x:v>Interpretation rows included</x:v>
      </x:c>
      <x:c r="B9" s="188" t="n">
        <x:f>COUNTIF(Evidence_Interpretation!M5:M200,"Yes")</x:f>
        <x:v>3</x:v>
      </x:c>
      <x:c r="D9" s="147" t="str">
        <x:v>Signals exportable</x:v>
      </x:c>
      <x:c r="E9" s="165" t="str">
        <x:f>IF(B11&gt;0,"Yes","No")</x:f>
        <x:v>Yes</x:v>
      </x:c>
      <x:c r="F9" s="148" t="str">
        <x:v>At least one active signal export row</x:v>
      </x:c>
      <x:c r="G9"/>
      <x:c r="H9"/>
    </x:row>
    <x:row r="10" ht="17.08984375" hidden="0" customHeight="1">
      <x:c r="A10" s="145" t="str">
        <x:v>BAOS rows included</x:v>
      </x:c>
      <x:c r="B10" s="188" t="n">
        <x:f>COUNTIF(BAOS_Profile!M5:M200,"Yes")</x:f>
        <x:v>2</x:v>
      </x:c>
    </x:row>
    <x:row r="11" ht="17.08984375" hidden="0" customHeight="1">
      <x:c r="A11" s="145" t="str">
        <x:v>Signals exported</x:v>
      </x:c>
      <x:c r="B11" s="188" t="n">
        <x:f>COUNTIF(CIOS_Signal_Export!O5:O200,"Yes")</x:f>
        <x:v>3</x:v>
      </x:c>
    </x:row>
    <x:row r="12" ht="17.08984375" hidden="0" customHeight="1">
      <x:c r="A12" s="147" t="str">
        <x:v>Trace rows complete</x:v>
      </x:c>
      <x:c r="B12" s="189" t="n">
        <x:f>COUNTIF(Traceability_Map!G5:G200,"Complete")</x:f>
        <x:v>3</x:v>
      </x:c>
    </x:row>
  </x:sheetData>
  <x:mergeCells>
    <x:mergeCell ref="A1:J1"/>
    <x:mergeCell ref="A2:J2"/>
  </x:mergeCells>
  <x:conditionalFormatting sqref="E6:E9">
    <x:cfRule type="expression" dxfId="20" priority="1">
      <x:formula>E6="Yes"</x:formula>
    </x:cfRule>
    <x:cfRule type="expression" dxfId="21" priority="2">
      <x:formula>E6="No"</x:formula>
    </x:cfRule>
  </x:conditionalFormatting>
  <x:pageMargins left="0.7" right="0.7" top="0.75" bottom="0.75" header="0.3" footer="0.3"/>
</x:worksheet>
</file>